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i Susanti\Documents\Sekolah Magister\STQA 6024 Sekuriti Terbitan dan Pengurusan Risiko\"/>
    </mc:Choice>
  </mc:AlternateContent>
  <xr:revisionPtr revIDLastSave="0" documentId="13_ncr:1_{86772101-12A8-4439-8F64-9E7904C493BC}" xr6:coauthVersionLast="47" xr6:coauthVersionMax="47" xr10:uidLastSave="{00000000-0000-0000-0000-000000000000}"/>
  <bookViews>
    <workbookView xWindow="-120" yWindow="-120" windowWidth="20730" windowHeight="11040" xr2:uid="{9A116ED4-9F50-4421-984F-5892EA057A6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" l="1"/>
  <c r="F10" i="1"/>
  <c r="C17" i="1"/>
  <c r="F8" i="1"/>
  <c r="M4" i="1" a="1"/>
  <c r="K4" i="1" a="1"/>
  <c r="N4" i="1" a="1"/>
  <c r="H4" i="1" a="1"/>
  <c r="J6" i="1" a="1"/>
  <c r="L6" i="1" a="1"/>
  <c r="J4" i="1" a="1"/>
  <c r="H6" i="1" a="1"/>
  <c r="L4" i="1" a="1"/>
  <c r="N6" i="1" a="1"/>
  <c r="F11" i="1" l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M11" i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N6" i="1"/>
  <c r="S9" i="1" s="1"/>
  <c r="N4" i="1"/>
  <c r="L9" i="1" s="1"/>
  <c r="L6" i="1"/>
  <c r="Q9" i="1" s="1"/>
  <c r="L4" i="1"/>
  <c r="J9" i="1" s="1"/>
  <c r="M4" i="1"/>
  <c r="K4" i="1"/>
  <c r="J6" i="1"/>
  <c r="O9" i="1" s="1"/>
  <c r="J4" i="1"/>
  <c r="H9" i="1" s="1"/>
  <c r="H6" i="1"/>
  <c r="N9" i="1" s="1"/>
  <c r="H4" i="1"/>
  <c r="G9" i="1" s="1"/>
  <c r="M6" i="1" l="1"/>
  <c r="R9" i="1" s="1"/>
  <c r="K9" i="1"/>
  <c r="K6" i="1"/>
  <c r="P9" i="1" s="1"/>
  <c r="I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<sst xmlns="http://schemas.openxmlformats.org/spreadsheetml/2006/main" count="35" uniqueCount="24">
  <si>
    <t>ENTER INPUT</t>
  </si>
  <si>
    <t>Stock Price</t>
  </si>
  <si>
    <t>Strike Price</t>
  </si>
  <si>
    <t>Volatility</t>
  </si>
  <si>
    <t>Risk Free-Rate</t>
  </si>
  <si>
    <t>Time to Expiration</t>
  </si>
  <si>
    <t>Dividend Yield</t>
  </si>
  <si>
    <t>Call</t>
  </si>
  <si>
    <t>Put</t>
  </si>
  <si>
    <t>Call Option</t>
  </si>
  <si>
    <t>Put Option</t>
  </si>
  <si>
    <t>Price</t>
  </si>
  <si>
    <t>Delta</t>
  </si>
  <si>
    <t>Gamma</t>
  </si>
  <si>
    <t>Theta</t>
  </si>
  <si>
    <t>Vega</t>
  </si>
  <si>
    <t>Rho</t>
  </si>
  <si>
    <t>OUTPUT</t>
  </si>
  <si>
    <t>--SELECT--</t>
  </si>
  <si>
    <t>Months</t>
  </si>
  <si>
    <t>Units</t>
  </si>
  <si>
    <t>Calendar Days</t>
  </si>
  <si>
    <t>Chart start at</t>
  </si>
  <si>
    <t>BLACK-SCHOLES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</si>
</sst>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3" tint="0.59999389629810485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10"/>
      <color theme="3" tint="0.59999389629810485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6" borderId="0" xfId="0" applyFont="1" applyFill="1"/>
    <xf numFmtId="0" fontId="1" fillId="6" borderId="1" xfId="0" applyFont="1" applyFill="1" applyBorder="1"/>
    <xf numFmtId="0" fontId="1" fillId="6" borderId="0" xfId="0" applyFont="1" applyFill="1" applyAlignment="1">
      <alignment horizontal="center"/>
    </xf>
    <xf numFmtId="0" fontId="1" fillId="4" borderId="0" xfId="0" applyFont="1" applyFill="1"/>
    <xf numFmtId="0" fontId="1" fillId="4" borderId="1" xfId="0" applyFont="1" applyFill="1" applyBorder="1"/>
    <xf numFmtId="2" fontId="1" fillId="3" borderId="0" xfId="0" applyNumberFormat="1" applyFont="1" applyFill="1"/>
    <xf numFmtId="0" fontId="1" fillId="2" borderId="1" xfId="0" applyFont="1" applyFill="1" applyBorder="1"/>
    <xf numFmtId="0" fontId="1" fillId="2" borderId="0" xfId="0" applyFont="1" applyFill="1"/>
    <xf numFmtId="165" fontId="1" fillId="5" borderId="0" xfId="0" applyNumberFormat="1" applyFont="1" applyFill="1"/>
    <xf numFmtId="164" fontId="1" fillId="5" borderId="1" xfId="0" applyNumberFormat="1" applyFont="1" applyFill="1" applyBorder="1"/>
    <xf numFmtId="164" fontId="1" fillId="5" borderId="2" xfId="0" applyNumberFormat="1" applyFont="1" applyFill="1" applyBorder="1"/>
    <xf numFmtId="164" fontId="1" fillId="5" borderId="0" xfId="0" applyNumberFormat="1" applyFont="1" applyFill="1"/>
    <xf numFmtId="10" fontId="1" fillId="3" borderId="0" xfId="0" applyNumberFormat="1" applyFont="1" applyFill="1"/>
    <xf numFmtId="0" fontId="1" fillId="3" borderId="0" xfId="0" applyFont="1" applyFill="1"/>
    <xf numFmtId="0" fontId="0" fillId="4" borderId="0" xfId="0" applyFill="1"/>
    <xf numFmtId="0" fontId="0" fillId="2" borderId="0" xfId="0" applyFill="1"/>
    <xf numFmtId="0" fontId="3" fillId="2" borderId="0" xfId="0" applyFont="1" applyFill="1"/>
    <xf numFmtId="0" fontId="0" fillId="2" borderId="1" xfId="0" applyFill="1" applyBorder="1"/>
    <xf numFmtId="0" fontId="0" fillId="4" borderId="1" xfId="0" applyFill="1" applyBorder="1"/>
    <xf numFmtId="0" fontId="1" fillId="2" borderId="0" xfId="0" applyFont="1" applyFill="1" applyAlignment="1"/>
    <xf numFmtId="0" fontId="2" fillId="2" borderId="0" xfId="0" applyFont="1" applyFill="1" applyAlignment="1"/>
    <xf numFmtId="0" fontId="1" fillId="3" borderId="0" xfId="0" applyFont="1" applyFill="1" applyBorder="1"/>
    <xf numFmtId="0" fontId="0" fillId="4" borderId="0" xfId="0" applyFill="1" applyBorder="1"/>
    <xf numFmtId="10" fontId="1" fillId="5" borderId="0" xfId="0" applyNumberFormat="1" applyFont="1" applyFill="1"/>
    <xf numFmtId="2" fontId="0" fillId="4" borderId="0" xfId="0" applyNumberFormat="1" applyFill="1"/>
    <xf numFmtId="165" fontId="0" fillId="4" borderId="0" xfId="0" applyNumberFormat="1" applyFill="1"/>
    <xf numFmtId="165" fontId="4" fillId="4" borderId="0" xfId="0" applyNumberFormat="1" applyFont="1" applyFill="1"/>
    <xf numFmtId="0" fontId="4" fillId="4" borderId="0" xfId="0" applyFont="1" applyFill="1"/>
    <xf numFmtId="164" fontId="5" fillId="4" borderId="0" xfId="0" applyNumberFormat="1" applyFont="1" applyFill="1"/>
    <xf numFmtId="0" fontId="5" fillId="4" borderId="0" xfId="0" applyFont="1" applyFill="1"/>
    <xf numFmtId="164" fontId="4" fillId="4" borderId="0" xfId="0" applyNumberFormat="1" applyFont="1" applyFill="1"/>
    <xf numFmtId="2" fontId="4" fillId="4" borderId="0" xfId="0" applyNumberFormat="1" applyFont="1" applyFill="1"/>
    <xf numFmtId="0" fontId="6" fillId="4" borderId="0" xfId="0" quotePrefix="1" applyFont="1" applyFill="1"/>
    <xf numFmtId="0" fontId="6" fillId="4" borderId="0" xfId="0" applyFont="1" applyFill="1"/>
    <xf numFmtId="165" fontId="5" fillId="4" borderId="0" xfId="0" applyNumberFormat="1" applyFont="1" applyFill="1"/>
    <xf numFmtId="2" fontId="5" fillId="4" borderId="0" xfId="0" applyNumberFormat="1" applyFont="1" applyFill="1"/>
    <xf numFmtId="0" fontId="0" fillId="0" borderId="0" xfId="0" applyFill="1"/>
    <xf numFmtId="0" fontId="1" fillId="2" borderId="0" xfId="0" applyFont="1" applyFill="1" applyBorder="1" applyAlignment="1">
      <alignment horizontal="left"/>
    </xf>
    <xf numFmtId="0" fontId="7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/>
    </xf>
    <xf numFmtId="0" fontId="3" fillId="7" borderId="0" xfId="0" applyFont="1" applyFill="1" applyAlignment="1">
      <alignment horizontal="center"/>
    </xf>
    <xf numFmtId="0" fontId="3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GREEK</a:t>
            </a:r>
            <a:r>
              <a:rPr lang="en-US" baseline="0"/>
              <a:t> AGAINST STOCK PRICE (PUT)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Sheet1!$O$10:$O$37</c:f>
              <c:numCache>
                <c:formatCode>General</c:formatCode>
                <c:ptCount val="28"/>
                <c:pt idx="0">
                  <c:v>-1</c:v>
                </c:pt>
                <c:pt idx="1">
                  <c:v>-0.99999489429973487</c:v>
                </c:pt>
                <c:pt idx="2">
                  <c:v>-0.95632517711335585</c:v>
                </c:pt>
                <c:pt idx="3">
                  <c:v>-0.41748435317947752</c:v>
                </c:pt>
                <c:pt idx="4">
                  <c:v>-4.4947011021550076E-2</c:v>
                </c:pt>
                <c:pt idx="5">
                  <c:v>-1.7988692185803012E-3</c:v>
                </c:pt>
                <c:pt idx="6">
                  <c:v>-4.0893023651955573E-5</c:v>
                </c:pt>
                <c:pt idx="7">
                  <c:v>-6.8501925476471826E-7</c:v>
                </c:pt>
                <c:pt idx="8">
                  <c:v>-9.854589588798035E-9</c:v>
                </c:pt>
                <c:pt idx="9">
                  <c:v>-1.3339807036771845E-10</c:v>
                </c:pt>
                <c:pt idx="10">
                  <c:v>-1.7963408538435033E-12</c:v>
                </c:pt>
                <c:pt idx="11">
                  <c:v>-2.4868995751603507E-14</c:v>
                </c:pt>
                <c:pt idx="12">
                  <c:v>-3.3306690738754696E-16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xVal>
          <c:yVal>
            <c:numRef>
              <c:f>Sheet1!$P$10:$P$37</c:f>
              <c:numCache>
                <c:formatCode>General</c:formatCode>
                <c:ptCount val="28"/>
                <c:pt idx="0">
                  <c:v>5.0606047960458666E-19</c:v>
                </c:pt>
                <c:pt idx="1">
                  <c:v>7.8634789421384418E-6</c:v>
                </c:pt>
                <c:pt idx="2">
                  <c:v>2.0562388798066083E-2</c:v>
                </c:pt>
                <c:pt idx="3">
                  <c:v>6.5062990656727063E-2</c:v>
                </c:pt>
                <c:pt idx="4">
                  <c:v>1.2626258299116748E-2</c:v>
                </c:pt>
                <c:pt idx="5">
                  <c:v>6.3977933118158892E-4</c:v>
                </c:pt>
                <c:pt idx="6">
                  <c:v>1.6230978525588092E-5</c:v>
                </c:pt>
                <c:pt idx="7">
                  <c:v>2.8665551681561902E-7</c:v>
                </c:pt>
                <c:pt idx="8">
                  <c:v>4.2212751460522179E-9</c:v>
                </c:pt>
                <c:pt idx="9">
                  <c:v>5.7522615952496753E-11</c:v>
                </c:pt>
                <c:pt idx="10">
                  <c:v>7.7198555337707348E-13</c:v>
                </c:pt>
                <c:pt idx="11">
                  <c:v>1.059970632913493E-14</c:v>
                </c:pt>
                <c:pt idx="12">
                  <c:v>1.5243404407415922E-16</c:v>
                </c:pt>
                <c:pt idx="13">
                  <c:v>2.3292134382281604E-18</c:v>
                </c:pt>
                <c:pt idx="14">
                  <c:v>3.8140699186076351E-20</c:v>
                </c:pt>
                <c:pt idx="15">
                  <c:v>6.7250199231383149E-22</c:v>
                </c:pt>
                <c:pt idx="16">
                  <c:v>1.2797315491587608E-23</c:v>
                </c:pt>
                <c:pt idx="17">
                  <c:v>2.6299326894332843E-25</c:v>
                </c:pt>
                <c:pt idx="18">
                  <c:v>5.8341411813722483E-27</c:v>
                </c:pt>
                <c:pt idx="19">
                  <c:v>1.3954348833456772E-28</c:v>
                </c:pt>
                <c:pt idx="20">
                  <c:v>3.5928078032304079E-30</c:v>
                </c:pt>
                <c:pt idx="21">
                  <c:v>9.9383583713301222E-32</c:v>
                </c:pt>
                <c:pt idx="22">
                  <c:v>2.9474144009720155E-33</c:v>
                </c:pt>
                <c:pt idx="23">
                  <c:v>9.3511376311779407E-35</c:v>
                </c:pt>
                <c:pt idx="24">
                  <c:v>3.1668054025553393E-36</c:v>
                </c:pt>
                <c:pt idx="25">
                  <c:v>1.1422267412194032E-37</c:v>
                </c:pt>
                <c:pt idx="26">
                  <c:v>4.3783724766393148E-39</c:v>
                </c:pt>
                <c:pt idx="27">
                  <c:v>1.7798395764708256E-40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Delta</c:v>
                </c15:tx>
              </c15:filteredSeriesTitle>
            </c:ext>
            <c:ext xmlns:c16="http://schemas.microsoft.com/office/drawing/2014/chart" uri="{C3380CC4-5D6E-409C-BE32-E72D297353CC}">
              <c16:uniqueId val="{00000000-2080-4267-9231-BAEEB83C2CD6}"/>
            </c:ext>
          </c:extLst>
        </c:ser>
        <c:ser>
          <c:idx val="1"/>
          <c:order val="1"/>
          <c:spPr>
            <a:ln w="2857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Sheet1!$O$10:$O$37</c:f>
              <c:numCache>
                <c:formatCode>General</c:formatCode>
                <c:ptCount val="28"/>
                <c:pt idx="0">
                  <c:v>-1</c:v>
                </c:pt>
                <c:pt idx="1">
                  <c:v>-0.99999489429973487</c:v>
                </c:pt>
                <c:pt idx="2">
                  <c:v>-0.95632517711335585</c:v>
                </c:pt>
                <c:pt idx="3">
                  <c:v>-0.41748435317947752</c:v>
                </c:pt>
                <c:pt idx="4">
                  <c:v>-4.4947011021550076E-2</c:v>
                </c:pt>
                <c:pt idx="5">
                  <c:v>-1.7988692185803012E-3</c:v>
                </c:pt>
                <c:pt idx="6">
                  <c:v>-4.0893023651955573E-5</c:v>
                </c:pt>
                <c:pt idx="7">
                  <c:v>-6.8501925476471826E-7</c:v>
                </c:pt>
                <c:pt idx="8">
                  <c:v>-9.854589588798035E-9</c:v>
                </c:pt>
                <c:pt idx="9">
                  <c:v>-1.3339807036771845E-10</c:v>
                </c:pt>
                <c:pt idx="10">
                  <c:v>-1.7963408538435033E-12</c:v>
                </c:pt>
                <c:pt idx="11">
                  <c:v>-2.4868995751603507E-14</c:v>
                </c:pt>
                <c:pt idx="12">
                  <c:v>-3.3306690738754696E-16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xVal>
          <c:yVal>
            <c:numRef>
              <c:f>Sheet1!$Q$10:$Q$37</c:f>
              <c:numCache>
                <c:formatCode>General</c:formatCode>
                <c:ptCount val="28"/>
                <c:pt idx="0">
                  <c:v>8.5935226152921013E-3</c:v>
                </c:pt>
                <c:pt idx="1">
                  <c:v>8.5931131232766418E-3</c:v>
                </c:pt>
                <c:pt idx="2">
                  <c:v>6.0414629857949995E-3</c:v>
                </c:pt>
                <c:pt idx="3">
                  <c:v>-8.7374539997333422E-3</c:v>
                </c:pt>
                <c:pt idx="4">
                  <c:v>-3.3669561589710572E-3</c:v>
                </c:pt>
                <c:pt idx="5">
                  <c:v>-2.592297929165771E-4</c:v>
                </c:pt>
                <c:pt idx="6">
                  <c:v>-9.1556587697169889E-6</c:v>
                </c:pt>
                <c:pt idx="7">
                  <c:v>-2.1381537492535654E-7</c:v>
                </c:pt>
                <c:pt idx="8">
                  <c:v>-4.0160702629761174E-9</c:v>
                </c:pt>
                <c:pt idx="9">
                  <c:v>-6.7926675844710293E-11</c:v>
                </c:pt>
                <c:pt idx="10">
                  <c:v>-1.107405075892708E-12</c:v>
                </c:pt>
                <c:pt idx="11">
                  <c:v>-1.8150205274839989E-14</c:v>
                </c:pt>
                <c:pt idx="12">
                  <c:v>-3.0706972707250708E-16</c:v>
                </c:pt>
                <c:pt idx="13">
                  <c:v>-5.4523586816630498E-18</c:v>
                </c:pt>
                <c:pt idx="14">
                  <c:v>-1.026594483805187E-19</c:v>
                </c:pt>
                <c:pt idx="15">
                  <c:v>-2.0623482994045631E-21</c:v>
                </c:pt>
                <c:pt idx="16">
                  <c:v>-4.4356961858603992E-23</c:v>
                </c:pt>
                <c:pt idx="17">
                  <c:v>-1.0230207573783057E-24</c:v>
                </c:pt>
                <c:pt idx="18">
                  <c:v>-2.5308975838201528E-26</c:v>
                </c:pt>
                <c:pt idx="19">
                  <c:v>-6.7129159462939518E-28</c:v>
                </c:pt>
                <c:pt idx="20">
                  <c:v>-1.9069023901165757E-29</c:v>
                </c:pt>
                <c:pt idx="21">
                  <c:v>-5.7929401304935736E-31</c:v>
                </c:pt>
                <c:pt idx="22">
                  <c:v>-1.8788520623252518E-32</c:v>
                </c:pt>
                <c:pt idx="23">
                  <c:v>-6.4940651130713119E-34</c:v>
                </c:pt>
                <c:pt idx="24">
                  <c:v>-2.387511458963021E-35</c:v>
                </c:pt>
                <c:pt idx="25">
                  <c:v>-9.3183785371571334E-37</c:v>
                </c:pt>
                <c:pt idx="26">
                  <c:v>-3.8535750194120027E-38</c:v>
                </c:pt>
                <c:pt idx="27">
                  <c:v>-1.6853477335563033E-39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Gamma</c:v>
                </c15:tx>
              </c15:filteredSeriesTitle>
            </c:ext>
            <c:ext xmlns:c16="http://schemas.microsoft.com/office/drawing/2014/chart" uri="{C3380CC4-5D6E-409C-BE32-E72D297353CC}">
              <c16:uniqueId val="{00000001-2080-4267-9231-BAEEB83C2CD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Sheet1!$O$10:$O$37</c:f>
              <c:numCache>
                <c:formatCode>General</c:formatCode>
                <c:ptCount val="28"/>
                <c:pt idx="0">
                  <c:v>-1</c:v>
                </c:pt>
                <c:pt idx="1">
                  <c:v>-0.99999489429973487</c:v>
                </c:pt>
                <c:pt idx="2">
                  <c:v>-0.95632517711335585</c:v>
                </c:pt>
                <c:pt idx="3">
                  <c:v>-0.41748435317947752</c:v>
                </c:pt>
                <c:pt idx="4">
                  <c:v>-4.4947011021550076E-2</c:v>
                </c:pt>
                <c:pt idx="5">
                  <c:v>-1.7988692185803012E-3</c:v>
                </c:pt>
                <c:pt idx="6">
                  <c:v>-4.0893023651955573E-5</c:v>
                </c:pt>
                <c:pt idx="7">
                  <c:v>-6.8501925476471826E-7</c:v>
                </c:pt>
                <c:pt idx="8">
                  <c:v>-9.854589588798035E-9</c:v>
                </c:pt>
                <c:pt idx="9">
                  <c:v>-1.3339807036771845E-10</c:v>
                </c:pt>
                <c:pt idx="10">
                  <c:v>-1.7963408538435033E-12</c:v>
                </c:pt>
                <c:pt idx="11">
                  <c:v>-2.4868995751603507E-14</c:v>
                </c:pt>
                <c:pt idx="12">
                  <c:v>-3.3306690738754696E-16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xVal>
          <c:yVal>
            <c:numRef>
              <c:f>Sheet1!$R$10:$R$37</c:f>
              <c:numCache>
                <c:formatCode>General</c:formatCode>
                <c:ptCount val="28"/>
                <c:pt idx="0">
                  <c:v>3.7954535970343997E-20</c:v>
                </c:pt>
                <c:pt idx="1">
                  <c:v>2.3590436826415326E-6</c:v>
                </c:pt>
                <c:pt idx="2">
                  <c:v>1.3879612438694604E-2</c:v>
                </c:pt>
                <c:pt idx="3">
                  <c:v>7.807558878807247E-2</c:v>
                </c:pt>
                <c:pt idx="4">
                  <c:v>2.3674234310843902E-2</c:v>
                </c:pt>
                <c:pt idx="5">
                  <c:v>1.72740419419029E-3</c:v>
                </c:pt>
                <c:pt idx="6">
                  <c:v>5.9648846081536242E-5</c:v>
                </c:pt>
                <c:pt idx="7">
                  <c:v>1.3759464807149713E-6</c:v>
                </c:pt>
                <c:pt idx="8">
                  <c:v>2.5644246512267226E-8</c:v>
                </c:pt>
                <c:pt idx="9">
                  <c:v>4.3141961964372567E-10</c:v>
                </c:pt>
                <c:pt idx="10">
                  <c:v>7.0057688968969415E-12</c:v>
                </c:pt>
                <c:pt idx="11">
                  <c:v>1.1447682835465725E-13</c:v>
                </c:pt>
                <c:pt idx="12">
                  <c:v>1.932101508639968E-15</c:v>
                </c:pt>
                <c:pt idx="13">
                  <c:v>3.4239437541953958E-17</c:v>
                </c:pt>
                <c:pt idx="14">
                  <c:v>6.4362429876503845E-19</c:v>
                </c:pt>
                <c:pt idx="15">
                  <c:v>1.2912038252425565E-20</c:v>
                </c:pt>
                <c:pt idx="16">
                  <c:v>2.7738181328016144E-22</c:v>
                </c:pt>
                <c:pt idx="17">
                  <c:v>6.3907364353228813E-24</c:v>
                </c:pt>
                <c:pt idx="18">
                  <c:v>1.5795937248565364E-25</c:v>
                </c:pt>
                <c:pt idx="19">
                  <c:v>4.1863046500370312E-27</c:v>
                </c:pt>
                <c:pt idx="20">
                  <c:v>1.1883211809184575E-28</c:v>
                </c:pt>
                <c:pt idx="21">
                  <c:v>3.6076240887928345E-30</c:v>
                </c:pt>
                <c:pt idx="22">
                  <c:v>1.1693866635856471E-31</c:v>
                </c:pt>
                <c:pt idx="23">
                  <c:v>4.0396914566688695E-33</c:v>
                </c:pt>
                <c:pt idx="24">
                  <c:v>1.4844400324478155E-34</c:v>
                </c:pt>
                <c:pt idx="25">
                  <c:v>5.7910895779823745E-36</c:v>
                </c:pt>
                <c:pt idx="26">
                  <c:v>2.3938751516025452E-37</c:v>
                </c:pt>
                <c:pt idx="27">
                  <c:v>1.0465456709648455E-38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Theta</c:v>
                </c15:tx>
              </c15:filteredSeriesTitle>
            </c:ext>
            <c:ext xmlns:c16="http://schemas.microsoft.com/office/drawing/2014/chart" uri="{C3380CC4-5D6E-409C-BE32-E72D297353CC}">
              <c16:uniqueId val="{00000002-2080-4267-9231-BAEEB83C2CD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Sheet1!$O$10:$O$37</c:f>
              <c:numCache>
                <c:formatCode>General</c:formatCode>
                <c:ptCount val="28"/>
                <c:pt idx="0">
                  <c:v>-1</c:v>
                </c:pt>
                <c:pt idx="1">
                  <c:v>-0.99999489429973487</c:v>
                </c:pt>
                <c:pt idx="2">
                  <c:v>-0.95632517711335585</c:v>
                </c:pt>
                <c:pt idx="3">
                  <c:v>-0.41748435317947752</c:v>
                </c:pt>
                <c:pt idx="4">
                  <c:v>-4.4947011021550076E-2</c:v>
                </c:pt>
                <c:pt idx="5">
                  <c:v>-1.7988692185803012E-3</c:v>
                </c:pt>
                <c:pt idx="6">
                  <c:v>-4.0893023651955573E-5</c:v>
                </c:pt>
                <c:pt idx="7">
                  <c:v>-6.8501925476471826E-7</c:v>
                </c:pt>
                <c:pt idx="8">
                  <c:v>-9.854589588798035E-9</c:v>
                </c:pt>
                <c:pt idx="9">
                  <c:v>-1.3339807036771845E-10</c:v>
                </c:pt>
                <c:pt idx="10">
                  <c:v>-1.7963408538435033E-12</c:v>
                </c:pt>
                <c:pt idx="11">
                  <c:v>-2.4868995751603507E-14</c:v>
                </c:pt>
                <c:pt idx="12">
                  <c:v>-3.3306690738754696E-16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xVal>
          <c:yVal>
            <c:numRef>
              <c:f>Sheet1!$S$10:$S$37</c:f>
              <c:numCache>
                <c:formatCode>General</c:formatCode>
                <c:ptCount val="28"/>
                <c:pt idx="0">
                  <c:v>-9.8019867330675525E-2</c:v>
                </c:pt>
                <c:pt idx="1">
                  <c:v>-9.8019619769279143E-2</c:v>
                </c:pt>
                <c:pt idx="2">
                  <c:v>-9.4934710504276598E-2</c:v>
                </c:pt>
                <c:pt idx="3">
                  <c:v>-4.6730144293177435E-2</c:v>
                </c:pt>
                <c:pt idx="4">
                  <c:v>-5.9848456445686891E-3</c:v>
                </c:pt>
                <c:pt idx="5">
                  <c:v>-2.8204303865208609E-4</c:v>
                </c:pt>
                <c:pt idx="6">
                  <c:v>-7.409853560796045E-6</c:v>
                </c:pt>
                <c:pt idx="7">
                  <c:v>-1.4106803109822266E-7</c:v>
                </c:pt>
                <c:pt idx="8">
                  <c:v>-2.2746607734297038E-9</c:v>
                </c:pt>
                <c:pt idx="9">
                  <c:v>-3.4123140478258793E-11</c:v>
                </c:pt>
                <c:pt idx="10">
                  <c:v>-5.0447753478056374E-13</c:v>
                </c:pt>
                <c:pt idx="11">
                  <c:v>-7.6182742488386988E-15</c:v>
                </c:pt>
                <c:pt idx="12">
                  <c:v>-1.2017625427915643E-16</c:v>
                </c:pt>
                <c:pt idx="13">
                  <c:v>-2.0079791784445094E-18</c:v>
                </c:pt>
                <c:pt idx="14">
                  <c:v>-3.5836227094155699E-20</c:v>
                </c:pt>
                <c:pt idx="15">
                  <c:v>-6.8641143321464071E-22</c:v>
                </c:pt>
                <c:pt idx="16">
                  <c:v>-1.4144303700600914E-23</c:v>
                </c:pt>
                <c:pt idx="17">
                  <c:v>-3.1380030238410154E-25</c:v>
                </c:pt>
                <c:pt idx="18">
                  <c:v>-7.4933177561143388E-27</c:v>
                </c:pt>
                <c:pt idx="19">
                  <c:v>-1.9240146757789333E-28</c:v>
                </c:pt>
                <c:pt idx="20">
                  <c:v>-5.3041675495388641E-30</c:v>
                </c:pt>
                <c:pt idx="21">
                  <c:v>-1.567228301423322E-31</c:v>
                </c:pt>
                <c:pt idx="22">
                  <c:v>-4.9534360633347594E-33</c:v>
                </c:pt>
                <c:pt idx="23">
                  <c:v>-1.6712846165716541E-34</c:v>
                </c:pt>
                <c:pt idx="24">
                  <c:v>-6.0069802959957863E-36</c:v>
                </c:pt>
                <c:pt idx="25">
                  <c:v>-2.2951743977209472E-37</c:v>
                </c:pt>
                <c:pt idx="26">
                  <c:v>-9.3031902737955839E-39</c:v>
                </c:pt>
                <c:pt idx="27">
                  <c:v>-3.9923374471426721E-40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Vega</c:v>
                </c15:tx>
              </c15:filteredSeriesTitle>
            </c:ext>
            <c:ext xmlns:c16="http://schemas.microsoft.com/office/drawing/2014/chart" uri="{C3380CC4-5D6E-409C-BE32-E72D297353CC}">
              <c16:uniqueId val="{00000003-2080-4267-9231-BAEEB83C2CD6}"/>
            </c:ext>
          </c:extLst>
        </c:ser>
        <c:ser>
          <c:idx val="4"/>
          <c:order val="4"/>
          <c:spPr>
            <a:ln w="2857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Sheet1!$O$10:$O$37</c:f>
              <c:numCache>
                <c:formatCode>General</c:formatCode>
                <c:ptCount val="28"/>
                <c:pt idx="0">
                  <c:v>-1</c:v>
                </c:pt>
                <c:pt idx="1">
                  <c:v>-0.99999489429973487</c:v>
                </c:pt>
                <c:pt idx="2">
                  <c:v>-0.95632517711335585</c:v>
                </c:pt>
                <c:pt idx="3">
                  <c:v>-0.41748435317947752</c:v>
                </c:pt>
                <c:pt idx="4">
                  <c:v>-4.4947011021550076E-2</c:v>
                </c:pt>
                <c:pt idx="5">
                  <c:v>-1.7988692185803012E-3</c:v>
                </c:pt>
                <c:pt idx="6">
                  <c:v>-4.0893023651955573E-5</c:v>
                </c:pt>
                <c:pt idx="7">
                  <c:v>-6.8501925476471826E-7</c:v>
                </c:pt>
                <c:pt idx="8">
                  <c:v>-9.854589588798035E-9</c:v>
                </c:pt>
                <c:pt idx="9">
                  <c:v>-1.3339807036771845E-10</c:v>
                </c:pt>
                <c:pt idx="10">
                  <c:v>-1.7963408538435033E-12</c:v>
                </c:pt>
                <c:pt idx="11">
                  <c:v>-2.4868995751603507E-14</c:v>
                </c:pt>
                <c:pt idx="12">
                  <c:v>-3.3306690738754696E-16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xVal>
          <c:yVal>
            <c:numRef>
              <c:f>Sheet1!$T$10:$T$37</c:f>
              <c:numCache>
                <c:formatCode>General</c:formatCode>
                <c:ptCount val="28"/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Rho</c:v>
                </c15:tx>
              </c15:filteredSeriesTitle>
            </c:ext>
            <c:ext xmlns:c16="http://schemas.microsoft.com/office/drawing/2014/chart" uri="{C3380CC4-5D6E-409C-BE32-E72D297353CC}">
              <c16:uniqueId val="{00000004-2080-4267-9231-BAEEB83C2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717136"/>
        <c:axId val="846714256"/>
      </c:scatterChart>
      <c:valAx>
        <c:axId val="84671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14256"/>
        <c:crosses val="autoZero"/>
        <c:crossBetween val="midCat"/>
      </c:valAx>
      <c:valAx>
        <c:axId val="84671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1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Put Option</c:v>
          </c:tx>
          <c:spPr>
            <a:ln w="2857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Sheet1!$M$10:$M$37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Sheet1!$N$10:$N$37</c:f>
              <c:numCache>
                <c:formatCode>General</c:formatCode>
                <c:ptCount val="28"/>
                <c:pt idx="0">
                  <c:v>29.207946932270211</c:v>
                </c:pt>
                <c:pt idx="1">
                  <c:v>19.207950021716961</c:v>
                </c:pt>
                <c:pt idx="2">
                  <c:v>9.2841288883099615</c:v>
                </c:pt>
                <c:pt idx="3">
                  <c:v>1.9926835900918718</c:v>
                </c:pt>
                <c:pt idx="4">
                  <c:v>0.14658770674997612</c:v>
                </c:pt>
                <c:pt idx="5">
                  <c:v>4.8850623460197085E-3</c:v>
                </c:pt>
                <c:pt idx="6" formatCode="0.0000">
                  <c:v>1.0142976868365849E-4</c:v>
                </c:pt>
                <c:pt idx="7">
                  <c:v>1.6256720556384607E-6</c:v>
                </c:pt>
                <c:pt idx="8">
                  <c:v>2.2951255118641711E-8</c:v>
                </c:pt>
                <c:pt idx="9">
                  <c:v>3.0945557227823883E-10</c:v>
                </c:pt>
                <c:pt idx="10">
                  <c:v>4.1850967136269901E-12</c:v>
                </c:pt>
                <c:pt idx="11">
                  <c:v>6.3948846218409017E-14</c:v>
                </c:pt>
                <c:pt idx="12">
                  <c:v>-7.1054273576010019E-15</c:v>
                </c:pt>
                <c:pt idx="13">
                  <c:v>7.1054273576010019E-15</c:v>
                </c:pt>
                <c:pt idx="14">
                  <c:v>7.1054273576010019E-15</c:v>
                </c:pt>
                <c:pt idx="15">
                  <c:v>7.1054273576010019E-15</c:v>
                </c:pt>
                <c:pt idx="16">
                  <c:v>7.1054273576010019E-15</c:v>
                </c:pt>
                <c:pt idx="17">
                  <c:v>7.1054273576010019E-15</c:v>
                </c:pt>
                <c:pt idx="18">
                  <c:v>7.1054273576010019E-15</c:v>
                </c:pt>
                <c:pt idx="19">
                  <c:v>7.1054273576010019E-15</c:v>
                </c:pt>
                <c:pt idx="20">
                  <c:v>7.1054273576010019E-15</c:v>
                </c:pt>
                <c:pt idx="21">
                  <c:v>7.1054273576010019E-15</c:v>
                </c:pt>
                <c:pt idx="22">
                  <c:v>7.1054273576010019E-15</c:v>
                </c:pt>
                <c:pt idx="23">
                  <c:v>7.1054273576010019E-15</c:v>
                </c:pt>
                <c:pt idx="24">
                  <c:v>7.1054273576010019E-15</c:v>
                </c:pt>
                <c:pt idx="25">
                  <c:v>7.1054273576010019E-15</c:v>
                </c:pt>
                <c:pt idx="26">
                  <c:v>7.1054273576010019E-15</c:v>
                </c:pt>
                <c:pt idx="27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B-4582-AA23-A6AA512B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260048"/>
        <c:axId val="848264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Sheet1!$O$9</c15:sqref>
                        </c15:formulaRef>
                      </c:ext>
                    </c:extLst>
                    <c:strCache>
                      <c:ptCount val="1"/>
                      <c:pt idx="0">
                        <c:v>-0.3546</c:v>
                      </c:pt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Sheet1!$M$10:$M$37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Sheet1!$O$10:$O$37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-1</c:v>
                      </c:pt>
                      <c:pt idx="1">
                        <c:v>-0.99999489429973487</c:v>
                      </c:pt>
                      <c:pt idx="2">
                        <c:v>-0.95632517711335585</c:v>
                      </c:pt>
                      <c:pt idx="3">
                        <c:v>-0.41748435317947752</c:v>
                      </c:pt>
                      <c:pt idx="4">
                        <c:v>-4.4947011021550076E-2</c:v>
                      </c:pt>
                      <c:pt idx="5">
                        <c:v>-1.7988692185803012E-3</c:v>
                      </c:pt>
                      <c:pt idx="6">
                        <c:v>-4.0893023651955573E-5</c:v>
                      </c:pt>
                      <c:pt idx="7">
                        <c:v>-6.8501925476471826E-7</c:v>
                      </c:pt>
                      <c:pt idx="8">
                        <c:v>-9.854589588798035E-9</c:v>
                      </c:pt>
                      <c:pt idx="9">
                        <c:v>-1.3339807036771845E-10</c:v>
                      </c:pt>
                      <c:pt idx="10">
                        <c:v>-1.7963408538435033E-12</c:v>
                      </c:pt>
                      <c:pt idx="11">
                        <c:v>-2.4868995751603507E-14</c:v>
                      </c:pt>
                      <c:pt idx="12">
                        <c:v>-3.3306690738754696E-16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AFB-4582-AA23-A6AA512BDAB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Sheet1!$P$9</c15:sqref>
                        </c15:formulaRef>
                      </c:ext>
                    </c:extLst>
                    <c:strCache>
                      <c:ptCount val="1"/>
                      <c:pt idx="0">
                        <c:v>0.0605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Sheet1!$M$10:$M$37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Sheet1!$P$10:$P$37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5.0606047960458666E-19</c:v>
                      </c:pt>
                      <c:pt idx="1">
                        <c:v>7.8634789421384418E-6</c:v>
                      </c:pt>
                      <c:pt idx="2">
                        <c:v>2.0562388798066083E-2</c:v>
                      </c:pt>
                      <c:pt idx="3">
                        <c:v>6.5062990656727063E-2</c:v>
                      </c:pt>
                      <c:pt idx="4">
                        <c:v>1.2626258299116748E-2</c:v>
                      </c:pt>
                      <c:pt idx="5">
                        <c:v>6.3977933118158892E-4</c:v>
                      </c:pt>
                      <c:pt idx="6">
                        <c:v>1.6230978525588092E-5</c:v>
                      </c:pt>
                      <c:pt idx="7">
                        <c:v>2.8665551681561902E-7</c:v>
                      </c:pt>
                      <c:pt idx="8">
                        <c:v>4.2212751460522179E-9</c:v>
                      </c:pt>
                      <c:pt idx="9">
                        <c:v>5.7522615952496753E-11</c:v>
                      </c:pt>
                      <c:pt idx="10">
                        <c:v>7.7198555337707348E-13</c:v>
                      </c:pt>
                      <c:pt idx="11">
                        <c:v>1.059970632913493E-14</c:v>
                      </c:pt>
                      <c:pt idx="12">
                        <c:v>1.5243404407415922E-16</c:v>
                      </c:pt>
                      <c:pt idx="13">
                        <c:v>2.3292134382281604E-18</c:v>
                      </c:pt>
                      <c:pt idx="14">
                        <c:v>3.8140699186076351E-20</c:v>
                      </c:pt>
                      <c:pt idx="15">
                        <c:v>6.7250199231383149E-22</c:v>
                      </c:pt>
                      <c:pt idx="16">
                        <c:v>1.2797315491587608E-23</c:v>
                      </c:pt>
                      <c:pt idx="17">
                        <c:v>2.6299326894332843E-25</c:v>
                      </c:pt>
                      <c:pt idx="18">
                        <c:v>5.8341411813722483E-27</c:v>
                      </c:pt>
                      <c:pt idx="19">
                        <c:v>1.3954348833456772E-28</c:v>
                      </c:pt>
                      <c:pt idx="20">
                        <c:v>3.5928078032304079E-30</c:v>
                      </c:pt>
                      <c:pt idx="21">
                        <c:v>9.9383583713301222E-32</c:v>
                      </c:pt>
                      <c:pt idx="22">
                        <c:v>2.9474144009720155E-33</c:v>
                      </c:pt>
                      <c:pt idx="23">
                        <c:v>9.3511376311779407E-35</c:v>
                      </c:pt>
                      <c:pt idx="24">
                        <c:v>3.1668054025553393E-36</c:v>
                      </c:pt>
                      <c:pt idx="25">
                        <c:v>1.1422267412194032E-37</c:v>
                      </c:pt>
                      <c:pt idx="26">
                        <c:v>4.3783724766393148E-39</c:v>
                      </c:pt>
                      <c:pt idx="27">
                        <c:v>1.7798395764708256E-40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AFB-4582-AA23-A6AA512BDAB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Sheet1!$Q$9</c15:sqref>
                        </c15:formulaRef>
                      </c:ext>
                    </c:extLst>
                    <c:strCache>
                      <c:ptCount val="1"/>
                      <c:pt idx="0">
                        <c:v>-0.0090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Sheet1!$M$10:$M$37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Sheet1!$Q$10:$Q$37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8.5935226152921013E-3</c:v>
                      </c:pt>
                      <c:pt idx="1">
                        <c:v>8.5931131232766418E-3</c:v>
                      </c:pt>
                      <c:pt idx="2">
                        <c:v>6.0414629857949995E-3</c:v>
                      </c:pt>
                      <c:pt idx="3">
                        <c:v>-8.7374539997333422E-3</c:v>
                      </c:pt>
                      <c:pt idx="4">
                        <c:v>-3.3669561589710572E-3</c:v>
                      </c:pt>
                      <c:pt idx="5">
                        <c:v>-2.592297929165771E-4</c:v>
                      </c:pt>
                      <c:pt idx="6">
                        <c:v>-9.1556587697169889E-6</c:v>
                      </c:pt>
                      <c:pt idx="7">
                        <c:v>-2.1381537492535654E-7</c:v>
                      </c:pt>
                      <c:pt idx="8">
                        <c:v>-4.0160702629761174E-9</c:v>
                      </c:pt>
                      <c:pt idx="9">
                        <c:v>-6.7926675844710293E-11</c:v>
                      </c:pt>
                      <c:pt idx="10">
                        <c:v>-1.107405075892708E-12</c:v>
                      </c:pt>
                      <c:pt idx="11">
                        <c:v>-1.8150205274839989E-14</c:v>
                      </c:pt>
                      <c:pt idx="12">
                        <c:v>-3.0706972707250708E-16</c:v>
                      </c:pt>
                      <c:pt idx="13">
                        <c:v>-5.4523586816630498E-18</c:v>
                      </c:pt>
                      <c:pt idx="14">
                        <c:v>-1.026594483805187E-19</c:v>
                      </c:pt>
                      <c:pt idx="15">
                        <c:v>-2.0623482994045631E-21</c:v>
                      </c:pt>
                      <c:pt idx="16">
                        <c:v>-4.4356961858603992E-23</c:v>
                      </c:pt>
                      <c:pt idx="17">
                        <c:v>-1.0230207573783057E-24</c:v>
                      </c:pt>
                      <c:pt idx="18">
                        <c:v>-2.5308975838201528E-26</c:v>
                      </c:pt>
                      <c:pt idx="19">
                        <c:v>-6.7129159462939518E-28</c:v>
                      </c:pt>
                      <c:pt idx="20">
                        <c:v>-1.9069023901165757E-29</c:v>
                      </c:pt>
                      <c:pt idx="21">
                        <c:v>-5.7929401304935736E-31</c:v>
                      </c:pt>
                      <c:pt idx="22">
                        <c:v>-1.8788520623252518E-32</c:v>
                      </c:pt>
                      <c:pt idx="23">
                        <c:v>-6.4940651130713119E-34</c:v>
                      </c:pt>
                      <c:pt idx="24">
                        <c:v>-2.387511458963021E-35</c:v>
                      </c:pt>
                      <c:pt idx="25">
                        <c:v>-9.3183785371571334E-37</c:v>
                      </c:pt>
                      <c:pt idx="26">
                        <c:v>-3.8535750194120027E-38</c:v>
                      </c:pt>
                      <c:pt idx="27">
                        <c:v>-1.6853477335563033E-39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AFB-4582-AA23-A6AA512BDAB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Sheet1!$R$9</c15:sqref>
                        </c15:formulaRef>
                      </c:ext>
                    </c:extLst>
                    <c:strCache>
                      <c:ptCount val="1"/>
                      <c:pt idx="0">
                        <c:v>0.0763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Sheet1!$M$10:$M$37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Sheet1!$R$10:$R$37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3.7954535970343997E-20</c:v>
                      </c:pt>
                      <c:pt idx="1">
                        <c:v>2.3590436826415326E-6</c:v>
                      </c:pt>
                      <c:pt idx="2">
                        <c:v>1.3879612438694604E-2</c:v>
                      </c:pt>
                      <c:pt idx="3">
                        <c:v>7.807558878807247E-2</c:v>
                      </c:pt>
                      <c:pt idx="4">
                        <c:v>2.3674234310843902E-2</c:v>
                      </c:pt>
                      <c:pt idx="5">
                        <c:v>1.72740419419029E-3</c:v>
                      </c:pt>
                      <c:pt idx="6">
                        <c:v>5.9648846081536242E-5</c:v>
                      </c:pt>
                      <c:pt idx="7">
                        <c:v>1.3759464807149713E-6</c:v>
                      </c:pt>
                      <c:pt idx="8">
                        <c:v>2.5644246512267226E-8</c:v>
                      </c:pt>
                      <c:pt idx="9">
                        <c:v>4.3141961964372567E-10</c:v>
                      </c:pt>
                      <c:pt idx="10">
                        <c:v>7.0057688968969415E-12</c:v>
                      </c:pt>
                      <c:pt idx="11">
                        <c:v>1.1447682835465725E-13</c:v>
                      </c:pt>
                      <c:pt idx="12">
                        <c:v>1.932101508639968E-15</c:v>
                      </c:pt>
                      <c:pt idx="13">
                        <c:v>3.4239437541953958E-17</c:v>
                      </c:pt>
                      <c:pt idx="14">
                        <c:v>6.4362429876503845E-19</c:v>
                      </c:pt>
                      <c:pt idx="15">
                        <c:v>1.2912038252425565E-20</c:v>
                      </c:pt>
                      <c:pt idx="16">
                        <c:v>2.7738181328016144E-22</c:v>
                      </c:pt>
                      <c:pt idx="17">
                        <c:v>6.3907364353228813E-24</c:v>
                      </c:pt>
                      <c:pt idx="18">
                        <c:v>1.5795937248565364E-25</c:v>
                      </c:pt>
                      <c:pt idx="19">
                        <c:v>4.1863046500370312E-27</c:v>
                      </c:pt>
                      <c:pt idx="20">
                        <c:v>1.1883211809184575E-28</c:v>
                      </c:pt>
                      <c:pt idx="21">
                        <c:v>3.6076240887928345E-30</c:v>
                      </c:pt>
                      <c:pt idx="22">
                        <c:v>1.1693866635856471E-31</c:v>
                      </c:pt>
                      <c:pt idx="23">
                        <c:v>4.0396914566688695E-33</c:v>
                      </c:pt>
                      <c:pt idx="24">
                        <c:v>1.4844400324478155E-34</c:v>
                      </c:pt>
                      <c:pt idx="25">
                        <c:v>5.7910895779823745E-36</c:v>
                      </c:pt>
                      <c:pt idx="26">
                        <c:v>2.3938751516025452E-37</c:v>
                      </c:pt>
                      <c:pt idx="27">
                        <c:v>1.0465456709648455E-38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AFB-4582-AA23-A6AA512BDAB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Sheet1!$S$9</c15:sqref>
                        </c15:formulaRef>
                      </c:ext>
                    </c:extLst>
                    <c:strCache>
                      <c:ptCount val="1"/>
                      <c:pt idx="0">
                        <c:v>-0.0404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Sheet1!$M$10:$M$37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Sheet1!$S$10:$S$37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-9.8019867330675525E-2</c:v>
                      </c:pt>
                      <c:pt idx="1">
                        <c:v>-9.8019619769279143E-2</c:v>
                      </c:pt>
                      <c:pt idx="2">
                        <c:v>-9.4934710504276598E-2</c:v>
                      </c:pt>
                      <c:pt idx="3">
                        <c:v>-4.6730144293177435E-2</c:v>
                      </c:pt>
                      <c:pt idx="4">
                        <c:v>-5.9848456445686891E-3</c:v>
                      </c:pt>
                      <c:pt idx="5">
                        <c:v>-2.8204303865208609E-4</c:v>
                      </c:pt>
                      <c:pt idx="6">
                        <c:v>-7.409853560796045E-6</c:v>
                      </c:pt>
                      <c:pt idx="7">
                        <c:v>-1.4106803109822266E-7</c:v>
                      </c:pt>
                      <c:pt idx="8">
                        <c:v>-2.2746607734297038E-9</c:v>
                      </c:pt>
                      <c:pt idx="9">
                        <c:v>-3.4123140478258793E-11</c:v>
                      </c:pt>
                      <c:pt idx="10">
                        <c:v>-5.0447753478056374E-13</c:v>
                      </c:pt>
                      <c:pt idx="11">
                        <c:v>-7.6182742488386988E-15</c:v>
                      </c:pt>
                      <c:pt idx="12">
                        <c:v>-1.2017625427915643E-16</c:v>
                      </c:pt>
                      <c:pt idx="13">
                        <c:v>-2.0079791784445094E-18</c:v>
                      </c:pt>
                      <c:pt idx="14">
                        <c:v>-3.5836227094155699E-20</c:v>
                      </c:pt>
                      <c:pt idx="15">
                        <c:v>-6.8641143321464071E-22</c:v>
                      </c:pt>
                      <c:pt idx="16">
                        <c:v>-1.4144303700600914E-23</c:v>
                      </c:pt>
                      <c:pt idx="17">
                        <c:v>-3.1380030238410154E-25</c:v>
                      </c:pt>
                      <c:pt idx="18">
                        <c:v>-7.4933177561143388E-27</c:v>
                      </c:pt>
                      <c:pt idx="19">
                        <c:v>-1.9240146757789333E-28</c:v>
                      </c:pt>
                      <c:pt idx="20">
                        <c:v>-5.3041675495388641E-30</c:v>
                      </c:pt>
                      <c:pt idx="21">
                        <c:v>-1.567228301423322E-31</c:v>
                      </c:pt>
                      <c:pt idx="22">
                        <c:v>-4.9534360633347594E-33</c:v>
                      </c:pt>
                      <c:pt idx="23">
                        <c:v>-1.6712846165716541E-34</c:v>
                      </c:pt>
                      <c:pt idx="24">
                        <c:v>-6.0069802959957863E-36</c:v>
                      </c:pt>
                      <c:pt idx="25">
                        <c:v>-2.2951743977209472E-37</c:v>
                      </c:pt>
                      <c:pt idx="26">
                        <c:v>-9.3031902737955839E-39</c:v>
                      </c:pt>
                      <c:pt idx="27">
                        <c:v>-3.9923374471426721E-40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FB-4582-AA23-A6AA512BDABE}"/>
                  </c:ext>
                </c:extLst>
              </c15:ser>
            </c15:filteredScatterSeries>
          </c:ext>
        </c:extLst>
      </c:scatterChart>
      <c:valAx>
        <c:axId val="84826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64848"/>
        <c:crosses val="autoZero"/>
        <c:crossBetween val="midCat"/>
      </c:valAx>
      <c:valAx>
        <c:axId val="8482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6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GREEK AGAINST STOCK PRICE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DELTA</c:v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Sheet1!$M$10:$M$37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Sheet1!$O$10:$O$37</c:f>
              <c:numCache>
                <c:formatCode>General</c:formatCode>
                <c:ptCount val="28"/>
                <c:pt idx="0">
                  <c:v>-1</c:v>
                </c:pt>
                <c:pt idx="1">
                  <c:v>-0.99999489429973487</c:v>
                </c:pt>
                <c:pt idx="2">
                  <c:v>-0.95632517711335585</c:v>
                </c:pt>
                <c:pt idx="3">
                  <c:v>-0.41748435317947752</c:v>
                </c:pt>
                <c:pt idx="4">
                  <c:v>-4.4947011021550076E-2</c:v>
                </c:pt>
                <c:pt idx="5">
                  <c:v>-1.7988692185803012E-3</c:v>
                </c:pt>
                <c:pt idx="6">
                  <c:v>-4.0893023651955573E-5</c:v>
                </c:pt>
                <c:pt idx="7">
                  <c:v>-6.8501925476471826E-7</c:v>
                </c:pt>
                <c:pt idx="8">
                  <c:v>-9.854589588798035E-9</c:v>
                </c:pt>
                <c:pt idx="9">
                  <c:v>-1.3339807036771845E-10</c:v>
                </c:pt>
                <c:pt idx="10">
                  <c:v>-1.7963408538435033E-12</c:v>
                </c:pt>
                <c:pt idx="11">
                  <c:v>-2.4868995751603507E-14</c:v>
                </c:pt>
                <c:pt idx="12">
                  <c:v>-3.3306690738754696E-16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E7-4844-8727-A89641E57EDC}"/>
            </c:ext>
          </c:extLst>
        </c:ser>
        <c:ser>
          <c:idx val="2"/>
          <c:order val="2"/>
          <c:tx>
            <c:v>GAMMA</c:v>
          </c:tx>
          <c:spPr>
            <a:ln w="2857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Sheet1!$M$10:$M$37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Sheet1!$P$10:$P$37</c:f>
              <c:numCache>
                <c:formatCode>General</c:formatCode>
                <c:ptCount val="28"/>
                <c:pt idx="0">
                  <c:v>5.0606047960458666E-19</c:v>
                </c:pt>
                <c:pt idx="1">
                  <c:v>7.8634789421384418E-6</c:v>
                </c:pt>
                <c:pt idx="2">
                  <c:v>2.0562388798066083E-2</c:v>
                </c:pt>
                <c:pt idx="3">
                  <c:v>6.5062990656727063E-2</c:v>
                </c:pt>
                <c:pt idx="4">
                  <c:v>1.2626258299116748E-2</c:v>
                </c:pt>
                <c:pt idx="5">
                  <c:v>6.3977933118158892E-4</c:v>
                </c:pt>
                <c:pt idx="6">
                  <c:v>1.6230978525588092E-5</c:v>
                </c:pt>
                <c:pt idx="7">
                  <c:v>2.8665551681561902E-7</c:v>
                </c:pt>
                <c:pt idx="8">
                  <c:v>4.2212751460522179E-9</c:v>
                </c:pt>
                <c:pt idx="9">
                  <c:v>5.7522615952496753E-11</c:v>
                </c:pt>
                <c:pt idx="10">
                  <c:v>7.7198555337707348E-13</c:v>
                </c:pt>
                <c:pt idx="11">
                  <c:v>1.059970632913493E-14</c:v>
                </c:pt>
                <c:pt idx="12">
                  <c:v>1.5243404407415922E-16</c:v>
                </c:pt>
                <c:pt idx="13">
                  <c:v>2.3292134382281604E-18</c:v>
                </c:pt>
                <c:pt idx="14">
                  <c:v>3.8140699186076351E-20</c:v>
                </c:pt>
                <c:pt idx="15">
                  <c:v>6.7250199231383149E-22</c:v>
                </c:pt>
                <c:pt idx="16">
                  <c:v>1.2797315491587608E-23</c:v>
                </c:pt>
                <c:pt idx="17">
                  <c:v>2.6299326894332843E-25</c:v>
                </c:pt>
                <c:pt idx="18">
                  <c:v>5.8341411813722483E-27</c:v>
                </c:pt>
                <c:pt idx="19">
                  <c:v>1.3954348833456772E-28</c:v>
                </c:pt>
                <c:pt idx="20">
                  <c:v>3.5928078032304079E-30</c:v>
                </c:pt>
                <c:pt idx="21">
                  <c:v>9.9383583713301222E-32</c:v>
                </c:pt>
                <c:pt idx="22">
                  <c:v>2.9474144009720155E-33</c:v>
                </c:pt>
                <c:pt idx="23">
                  <c:v>9.3511376311779407E-35</c:v>
                </c:pt>
                <c:pt idx="24">
                  <c:v>3.1668054025553393E-36</c:v>
                </c:pt>
                <c:pt idx="25">
                  <c:v>1.1422267412194032E-37</c:v>
                </c:pt>
                <c:pt idx="26">
                  <c:v>4.3783724766393148E-39</c:v>
                </c:pt>
                <c:pt idx="27">
                  <c:v>1.7798395764708256E-40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E7-4844-8727-A89641E57EDC}"/>
            </c:ext>
          </c:extLst>
        </c:ser>
        <c:ser>
          <c:idx val="3"/>
          <c:order val="3"/>
          <c:tx>
            <c:v>THETA</c:v>
          </c:tx>
          <c:spPr>
            <a:ln w="2857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Sheet1!$M$10:$M$37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Sheet1!$Q$10:$Q$37</c:f>
              <c:numCache>
                <c:formatCode>General</c:formatCode>
                <c:ptCount val="28"/>
                <c:pt idx="0">
                  <c:v>8.5935226152921013E-3</c:v>
                </c:pt>
                <c:pt idx="1">
                  <c:v>8.5931131232766418E-3</c:v>
                </c:pt>
                <c:pt idx="2">
                  <c:v>6.0414629857949995E-3</c:v>
                </c:pt>
                <c:pt idx="3">
                  <c:v>-8.7374539997333422E-3</c:v>
                </c:pt>
                <c:pt idx="4">
                  <c:v>-3.3669561589710572E-3</c:v>
                </c:pt>
                <c:pt idx="5">
                  <c:v>-2.592297929165771E-4</c:v>
                </c:pt>
                <c:pt idx="6">
                  <c:v>-9.1556587697169889E-6</c:v>
                </c:pt>
                <c:pt idx="7">
                  <c:v>-2.1381537492535654E-7</c:v>
                </c:pt>
                <c:pt idx="8">
                  <c:v>-4.0160702629761174E-9</c:v>
                </c:pt>
                <c:pt idx="9">
                  <c:v>-6.7926675844710293E-11</c:v>
                </c:pt>
                <c:pt idx="10">
                  <c:v>-1.107405075892708E-12</c:v>
                </c:pt>
                <c:pt idx="11">
                  <c:v>-1.8150205274839989E-14</c:v>
                </c:pt>
                <c:pt idx="12">
                  <c:v>-3.0706972707250708E-16</c:v>
                </c:pt>
                <c:pt idx="13">
                  <c:v>-5.4523586816630498E-18</c:v>
                </c:pt>
                <c:pt idx="14">
                  <c:v>-1.026594483805187E-19</c:v>
                </c:pt>
                <c:pt idx="15">
                  <c:v>-2.0623482994045631E-21</c:v>
                </c:pt>
                <c:pt idx="16">
                  <c:v>-4.4356961858603992E-23</c:v>
                </c:pt>
                <c:pt idx="17">
                  <c:v>-1.0230207573783057E-24</c:v>
                </c:pt>
                <c:pt idx="18">
                  <c:v>-2.5308975838201528E-26</c:v>
                </c:pt>
                <c:pt idx="19">
                  <c:v>-6.7129159462939518E-28</c:v>
                </c:pt>
                <c:pt idx="20">
                  <c:v>-1.9069023901165757E-29</c:v>
                </c:pt>
                <c:pt idx="21">
                  <c:v>-5.7929401304935736E-31</c:v>
                </c:pt>
                <c:pt idx="22">
                  <c:v>-1.8788520623252518E-32</c:v>
                </c:pt>
                <c:pt idx="23">
                  <c:v>-6.4940651130713119E-34</c:v>
                </c:pt>
                <c:pt idx="24">
                  <c:v>-2.387511458963021E-35</c:v>
                </c:pt>
                <c:pt idx="25">
                  <c:v>-9.3183785371571334E-37</c:v>
                </c:pt>
                <c:pt idx="26">
                  <c:v>-3.8535750194120027E-38</c:v>
                </c:pt>
                <c:pt idx="27">
                  <c:v>-1.6853477335563033E-39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E7-4844-8727-A89641E57EDC}"/>
            </c:ext>
          </c:extLst>
        </c:ser>
        <c:ser>
          <c:idx val="4"/>
          <c:order val="4"/>
          <c:tx>
            <c:v>VEGA</c:v>
          </c:tx>
          <c:spPr>
            <a:ln w="2857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Sheet1!$M$10:$M$37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Sheet1!$R$10:$R$37</c:f>
              <c:numCache>
                <c:formatCode>General</c:formatCode>
                <c:ptCount val="28"/>
                <c:pt idx="0">
                  <c:v>3.7954535970343997E-20</c:v>
                </c:pt>
                <c:pt idx="1">
                  <c:v>2.3590436826415326E-6</c:v>
                </c:pt>
                <c:pt idx="2">
                  <c:v>1.3879612438694604E-2</c:v>
                </c:pt>
                <c:pt idx="3">
                  <c:v>7.807558878807247E-2</c:v>
                </c:pt>
                <c:pt idx="4">
                  <c:v>2.3674234310843902E-2</c:v>
                </c:pt>
                <c:pt idx="5">
                  <c:v>1.72740419419029E-3</c:v>
                </c:pt>
                <c:pt idx="6">
                  <c:v>5.9648846081536242E-5</c:v>
                </c:pt>
                <c:pt idx="7">
                  <c:v>1.3759464807149713E-6</c:v>
                </c:pt>
                <c:pt idx="8">
                  <c:v>2.5644246512267226E-8</c:v>
                </c:pt>
                <c:pt idx="9">
                  <c:v>4.3141961964372567E-10</c:v>
                </c:pt>
                <c:pt idx="10">
                  <c:v>7.0057688968969415E-12</c:v>
                </c:pt>
                <c:pt idx="11">
                  <c:v>1.1447682835465725E-13</c:v>
                </c:pt>
                <c:pt idx="12">
                  <c:v>1.932101508639968E-15</c:v>
                </c:pt>
                <c:pt idx="13">
                  <c:v>3.4239437541953958E-17</c:v>
                </c:pt>
                <c:pt idx="14">
                  <c:v>6.4362429876503845E-19</c:v>
                </c:pt>
                <c:pt idx="15">
                  <c:v>1.2912038252425565E-20</c:v>
                </c:pt>
                <c:pt idx="16">
                  <c:v>2.7738181328016144E-22</c:v>
                </c:pt>
                <c:pt idx="17">
                  <c:v>6.3907364353228813E-24</c:v>
                </c:pt>
                <c:pt idx="18">
                  <c:v>1.5795937248565364E-25</c:v>
                </c:pt>
                <c:pt idx="19">
                  <c:v>4.1863046500370312E-27</c:v>
                </c:pt>
                <c:pt idx="20">
                  <c:v>1.1883211809184575E-28</c:v>
                </c:pt>
                <c:pt idx="21">
                  <c:v>3.6076240887928345E-30</c:v>
                </c:pt>
                <c:pt idx="22">
                  <c:v>1.1693866635856471E-31</c:v>
                </c:pt>
                <c:pt idx="23">
                  <c:v>4.0396914566688695E-33</c:v>
                </c:pt>
                <c:pt idx="24">
                  <c:v>1.4844400324478155E-34</c:v>
                </c:pt>
                <c:pt idx="25">
                  <c:v>5.7910895779823745E-36</c:v>
                </c:pt>
                <c:pt idx="26">
                  <c:v>2.3938751516025452E-37</c:v>
                </c:pt>
                <c:pt idx="27">
                  <c:v>1.0465456709648455E-38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E7-4844-8727-A89641E57EDC}"/>
            </c:ext>
          </c:extLst>
        </c:ser>
        <c:ser>
          <c:idx val="5"/>
          <c:order val="5"/>
          <c:tx>
            <c:v>RHO</c:v>
          </c:tx>
          <c:spPr>
            <a:ln w="2857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Sheet1!$M$10:$M$37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Sheet1!$S$10:$S$37</c:f>
              <c:numCache>
                <c:formatCode>General</c:formatCode>
                <c:ptCount val="28"/>
                <c:pt idx="0">
                  <c:v>-9.8019867330675525E-2</c:v>
                </c:pt>
                <c:pt idx="1">
                  <c:v>-9.8019619769279143E-2</c:v>
                </c:pt>
                <c:pt idx="2">
                  <c:v>-9.4934710504276598E-2</c:v>
                </c:pt>
                <c:pt idx="3">
                  <c:v>-4.6730144293177435E-2</c:v>
                </c:pt>
                <c:pt idx="4">
                  <c:v>-5.9848456445686891E-3</c:v>
                </c:pt>
                <c:pt idx="5">
                  <c:v>-2.8204303865208609E-4</c:v>
                </c:pt>
                <c:pt idx="6">
                  <c:v>-7.409853560796045E-6</c:v>
                </c:pt>
                <c:pt idx="7">
                  <c:v>-1.4106803109822266E-7</c:v>
                </c:pt>
                <c:pt idx="8">
                  <c:v>-2.2746607734297038E-9</c:v>
                </c:pt>
                <c:pt idx="9">
                  <c:v>-3.4123140478258793E-11</c:v>
                </c:pt>
                <c:pt idx="10">
                  <c:v>-5.0447753478056374E-13</c:v>
                </c:pt>
                <c:pt idx="11">
                  <c:v>-7.6182742488386988E-15</c:v>
                </c:pt>
                <c:pt idx="12">
                  <c:v>-1.2017625427915643E-16</c:v>
                </c:pt>
                <c:pt idx="13">
                  <c:v>-2.0079791784445094E-18</c:v>
                </c:pt>
                <c:pt idx="14">
                  <c:v>-3.5836227094155699E-20</c:v>
                </c:pt>
                <c:pt idx="15">
                  <c:v>-6.8641143321464071E-22</c:v>
                </c:pt>
                <c:pt idx="16">
                  <c:v>-1.4144303700600914E-23</c:v>
                </c:pt>
                <c:pt idx="17">
                  <c:v>-3.1380030238410154E-25</c:v>
                </c:pt>
                <c:pt idx="18">
                  <c:v>-7.4933177561143388E-27</c:v>
                </c:pt>
                <c:pt idx="19">
                  <c:v>-1.9240146757789333E-28</c:v>
                </c:pt>
                <c:pt idx="20">
                  <c:v>-5.3041675495388641E-30</c:v>
                </c:pt>
                <c:pt idx="21">
                  <c:v>-1.567228301423322E-31</c:v>
                </c:pt>
                <c:pt idx="22">
                  <c:v>-4.9534360633347594E-33</c:v>
                </c:pt>
                <c:pt idx="23">
                  <c:v>-1.6712846165716541E-34</c:v>
                </c:pt>
                <c:pt idx="24">
                  <c:v>-6.0069802959957863E-36</c:v>
                </c:pt>
                <c:pt idx="25">
                  <c:v>-2.2951743977209472E-37</c:v>
                </c:pt>
                <c:pt idx="26">
                  <c:v>-9.3031902737955839E-39</c:v>
                </c:pt>
                <c:pt idx="27">
                  <c:v>-3.9923374471426721E-40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E7-4844-8727-A89641E57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260048"/>
        <c:axId val="8482648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Sheet1!$N$9</c15:sqref>
                        </c15:formulaRef>
                      </c:ext>
                    </c:extLst>
                    <c:strCache>
                      <c:ptCount val="1"/>
                      <c:pt idx="0">
                        <c:v>1.6070</c:v>
                      </c:pt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Sheet1!$M$10:$M$37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Sheet1!$N$10:$N$37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29.207946932270211</c:v>
                      </c:pt>
                      <c:pt idx="1">
                        <c:v>19.207950021716961</c:v>
                      </c:pt>
                      <c:pt idx="2">
                        <c:v>9.2841288883099615</c:v>
                      </c:pt>
                      <c:pt idx="3">
                        <c:v>1.9926835900918718</c:v>
                      </c:pt>
                      <c:pt idx="4">
                        <c:v>0.14658770674997612</c:v>
                      </c:pt>
                      <c:pt idx="5">
                        <c:v>4.8850623460197085E-3</c:v>
                      </c:pt>
                      <c:pt idx="6" formatCode="0.0000">
                        <c:v>1.0142976868365849E-4</c:v>
                      </c:pt>
                      <c:pt idx="7">
                        <c:v>1.6256720556384607E-6</c:v>
                      </c:pt>
                      <c:pt idx="8">
                        <c:v>2.2951255118641711E-8</c:v>
                      </c:pt>
                      <c:pt idx="9">
                        <c:v>3.0945557227823883E-10</c:v>
                      </c:pt>
                      <c:pt idx="10">
                        <c:v>4.1850967136269901E-12</c:v>
                      </c:pt>
                      <c:pt idx="11">
                        <c:v>6.3948846218409017E-14</c:v>
                      </c:pt>
                      <c:pt idx="12">
                        <c:v>-7.1054273576010019E-15</c:v>
                      </c:pt>
                      <c:pt idx="13">
                        <c:v>7.1054273576010019E-15</c:v>
                      </c:pt>
                      <c:pt idx="14">
                        <c:v>7.1054273576010019E-15</c:v>
                      </c:pt>
                      <c:pt idx="15">
                        <c:v>7.1054273576010019E-15</c:v>
                      </c:pt>
                      <c:pt idx="16">
                        <c:v>7.1054273576010019E-15</c:v>
                      </c:pt>
                      <c:pt idx="17">
                        <c:v>7.1054273576010019E-15</c:v>
                      </c:pt>
                      <c:pt idx="18">
                        <c:v>7.1054273576010019E-15</c:v>
                      </c:pt>
                      <c:pt idx="19">
                        <c:v>7.1054273576010019E-15</c:v>
                      </c:pt>
                      <c:pt idx="20">
                        <c:v>7.1054273576010019E-15</c:v>
                      </c:pt>
                      <c:pt idx="21">
                        <c:v>7.1054273576010019E-15</c:v>
                      </c:pt>
                      <c:pt idx="22">
                        <c:v>7.1054273576010019E-15</c:v>
                      </c:pt>
                      <c:pt idx="23">
                        <c:v>7.1054273576010019E-15</c:v>
                      </c:pt>
                      <c:pt idx="24">
                        <c:v>7.1054273576010019E-15</c:v>
                      </c:pt>
                      <c:pt idx="25">
                        <c:v>7.1054273576010019E-15</c:v>
                      </c:pt>
                      <c:pt idx="26">
                        <c:v>7.1054273576010019E-15</c:v>
                      </c:pt>
                      <c:pt idx="27">
                        <c:v>7.1054273576010019E-15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9EE7-4844-8727-A89641E57EDC}"/>
                  </c:ext>
                </c:extLst>
              </c15:ser>
            </c15:filteredScatterSeries>
          </c:ext>
        </c:extLst>
      </c:scatterChart>
      <c:valAx>
        <c:axId val="84826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64848"/>
        <c:crosses val="autoZero"/>
        <c:crossBetween val="midCat"/>
      </c:valAx>
      <c:valAx>
        <c:axId val="8482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6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285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Option</c:v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Sheet1!$F$10:$F$37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Sheet1!$G$10:$G$37</c:f>
              <c:numCache>
                <c:formatCode>General</c:formatCode>
                <c:ptCount val="28"/>
                <c:pt idx="0">
                  <c:v>1.325615617628054E-20</c:v>
                </c:pt>
                <c:pt idx="1">
                  <c:v>3.0894467502446917E-6</c:v>
                </c:pt>
                <c:pt idx="2">
                  <c:v>7.6181956039749865E-2</c:v>
                </c:pt>
                <c:pt idx="3">
                  <c:v>2.7847366578216608</c:v>
                </c:pt>
                <c:pt idx="4">
                  <c:v>10.938640774479765</c:v>
                </c:pt>
                <c:pt idx="5">
                  <c:v>20.796938130075809</c:v>
                </c:pt>
                <c:pt idx="6">
                  <c:v>30.792154497498473</c:v>
                </c:pt>
                <c:pt idx="7">
                  <c:v>40.792054693401845</c:v>
                </c:pt>
                <c:pt idx="8">
                  <c:v>50.792053090681044</c:v>
                </c:pt>
                <c:pt idx="9">
                  <c:v>60.792053068039245</c:v>
                </c:pt>
                <c:pt idx="10">
                  <c:v>70.792053067733974</c:v>
                </c:pt>
                <c:pt idx="11">
                  <c:v>80.792053067729853</c:v>
                </c:pt>
                <c:pt idx="12">
                  <c:v>90.792053067729782</c:v>
                </c:pt>
                <c:pt idx="13">
                  <c:v>100.7920530677298</c:v>
                </c:pt>
                <c:pt idx="14">
                  <c:v>110.7920530677298</c:v>
                </c:pt>
                <c:pt idx="15">
                  <c:v>120.7920530677298</c:v>
                </c:pt>
                <c:pt idx="16">
                  <c:v>130.7920530677298</c:v>
                </c:pt>
                <c:pt idx="17">
                  <c:v>140.7920530677298</c:v>
                </c:pt>
                <c:pt idx="18">
                  <c:v>150.7920530677298</c:v>
                </c:pt>
                <c:pt idx="19">
                  <c:v>160.7920530677298</c:v>
                </c:pt>
                <c:pt idx="20">
                  <c:v>170.7920530677298</c:v>
                </c:pt>
                <c:pt idx="21">
                  <c:v>180.7920530677298</c:v>
                </c:pt>
                <c:pt idx="22">
                  <c:v>190.7920530677298</c:v>
                </c:pt>
                <c:pt idx="23">
                  <c:v>200.7920530677298</c:v>
                </c:pt>
                <c:pt idx="24">
                  <c:v>210.7920530677298</c:v>
                </c:pt>
                <c:pt idx="25">
                  <c:v>220.7920530677298</c:v>
                </c:pt>
                <c:pt idx="26">
                  <c:v>230.7920530677298</c:v>
                </c:pt>
                <c:pt idx="27">
                  <c:v>240.7920530677298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8-4022-A78D-BA901A748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603832"/>
        <c:axId val="8736047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Sheet1!$H$9</c15:sqref>
                        </c15:formulaRef>
                      </c:ext>
                    </c:extLst>
                    <c:strCache>
                      <c:ptCount val="1"/>
                      <c:pt idx="0">
                        <c:v>0.645</c:v>
                      </c:pt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Sheet1!$F$10:$F$37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Sheet1!$H$10:$H$37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8.3035454521653377E-20</c:v>
                      </c:pt>
                      <c:pt idx="1">
                        <c:v>5.1057002651745579E-6</c:v>
                      </c:pt>
                      <c:pt idx="2">
                        <c:v>4.3674822886644149E-2</c:v>
                      </c:pt>
                      <c:pt idx="3">
                        <c:v>0.58251564682052248</c:v>
                      </c:pt>
                      <c:pt idx="4">
                        <c:v>0.95505298897844992</c:v>
                      </c:pt>
                      <c:pt idx="5">
                        <c:v>0.9982011307814197</c:v>
                      </c:pt>
                      <c:pt idx="6">
                        <c:v>0.99995910697634804</c:v>
                      </c:pt>
                      <c:pt idx="7">
                        <c:v>0.99999931498074524</c:v>
                      </c:pt>
                      <c:pt idx="8">
                        <c:v>0.99999999014541041</c:v>
                      </c:pt>
                      <c:pt idx="9">
                        <c:v>0.99999999986660193</c:v>
                      </c:pt>
                      <c:pt idx="10">
                        <c:v>0.99999999999820366</c:v>
                      </c:pt>
                      <c:pt idx="11">
                        <c:v>0.99999999999997513</c:v>
                      </c:pt>
                      <c:pt idx="12">
                        <c:v>0.99999999999999967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E88-4022-A78D-BA901A748EFB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Sheet1!$I$9</c15:sqref>
                        </c15:formulaRef>
                      </c:ext>
                    </c:extLst>
                    <c:strCache>
                      <c:ptCount val="1"/>
                      <c:pt idx="0">
                        <c:v>0.0605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Sheet1!$F$10:$F$37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Sheet1!$I$10:$I$37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5.0606047960458666E-19</c:v>
                      </c:pt>
                      <c:pt idx="1">
                        <c:v>7.8634789421384418E-6</c:v>
                      </c:pt>
                      <c:pt idx="2">
                        <c:v>2.0562388798066083E-2</c:v>
                      </c:pt>
                      <c:pt idx="3">
                        <c:v>6.5062990656727063E-2</c:v>
                      </c:pt>
                      <c:pt idx="4">
                        <c:v>1.2626258299116748E-2</c:v>
                      </c:pt>
                      <c:pt idx="5">
                        <c:v>6.3977933118158892E-4</c:v>
                      </c:pt>
                      <c:pt idx="6">
                        <c:v>1.6230978525588092E-5</c:v>
                      </c:pt>
                      <c:pt idx="7">
                        <c:v>2.8665551681561902E-7</c:v>
                      </c:pt>
                      <c:pt idx="8">
                        <c:v>4.2212751460522179E-9</c:v>
                      </c:pt>
                      <c:pt idx="9">
                        <c:v>5.7522615952496753E-11</c:v>
                      </c:pt>
                      <c:pt idx="10">
                        <c:v>7.7198555337707348E-13</c:v>
                      </c:pt>
                      <c:pt idx="11">
                        <c:v>1.059970632913493E-14</c:v>
                      </c:pt>
                      <c:pt idx="12">
                        <c:v>1.5243404407415922E-16</c:v>
                      </c:pt>
                      <c:pt idx="13">
                        <c:v>2.3292134382281604E-18</c:v>
                      </c:pt>
                      <c:pt idx="14">
                        <c:v>3.8140699186076351E-20</c:v>
                      </c:pt>
                      <c:pt idx="15">
                        <c:v>6.7250199231383149E-22</c:v>
                      </c:pt>
                      <c:pt idx="16">
                        <c:v>1.2797315491587608E-23</c:v>
                      </c:pt>
                      <c:pt idx="17">
                        <c:v>2.6299326894332843E-25</c:v>
                      </c:pt>
                      <c:pt idx="18">
                        <c:v>5.8341411813722483E-27</c:v>
                      </c:pt>
                      <c:pt idx="19">
                        <c:v>1.3954348833456772E-28</c:v>
                      </c:pt>
                      <c:pt idx="20">
                        <c:v>3.5928078032304079E-30</c:v>
                      </c:pt>
                      <c:pt idx="21">
                        <c:v>9.9383583713301222E-32</c:v>
                      </c:pt>
                      <c:pt idx="22">
                        <c:v>2.9474144009720155E-33</c:v>
                      </c:pt>
                      <c:pt idx="23">
                        <c:v>9.3511376311779407E-35</c:v>
                      </c:pt>
                      <c:pt idx="24">
                        <c:v>3.1668054025553393E-36</c:v>
                      </c:pt>
                      <c:pt idx="25">
                        <c:v>1.1422267412194032E-37</c:v>
                      </c:pt>
                      <c:pt idx="26">
                        <c:v>4.3783724766393148E-39</c:v>
                      </c:pt>
                      <c:pt idx="27">
                        <c:v>1.7798395764708256E-40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E88-4022-A78D-BA901A748EFB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Sheet1!$J$9</c15:sqref>
                        </c15:formulaRef>
                      </c:ext>
                    </c:extLst>
                    <c:strCache>
                      <c:ptCount val="1"/>
                      <c:pt idx="0">
                        <c:v>-0.0176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Sheet1!$F$10:$F$37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Sheet1!$J$10:$J$37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-6.4181918612160545E-21</c:v>
                      </c:pt>
                      <c:pt idx="1">
                        <c:v>-4.0949201545959367E-7</c:v>
                      </c:pt>
                      <c:pt idx="2">
                        <c:v>-2.5520596294971018E-3</c:v>
                      </c:pt>
                      <c:pt idx="3">
                        <c:v>-1.7330976615025442E-2</c:v>
                      </c:pt>
                      <c:pt idx="4">
                        <c:v>-1.1960478774263157E-2</c:v>
                      </c:pt>
                      <c:pt idx="5">
                        <c:v>-8.8527524082086771E-3</c:v>
                      </c:pt>
                      <c:pt idx="6" formatCode="0.000">
                        <c:v>-8.6026782740618191E-3</c:v>
                      </c:pt>
                      <c:pt idx="7">
                        <c:v>-8.5937364306670275E-3</c:v>
                      </c:pt>
                      <c:pt idx="8">
                        <c:v>-8.5935266313623623E-3</c:v>
                      </c:pt>
                      <c:pt idx="9">
                        <c:v>-8.593522683218776E-3</c:v>
                      </c:pt>
                      <c:pt idx="10">
                        <c:v>-8.5935226163995054E-3</c:v>
                      </c:pt>
                      <c:pt idx="11">
                        <c:v>-8.5935226153102517E-3</c:v>
                      </c:pt>
                      <c:pt idx="12">
                        <c:v>-8.5935226152924083E-3</c:v>
                      </c:pt>
                      <c:pt idx="13">
                        <c:v>-8.5935226152921065E-3</c:v>
                      </c:pt>
                      <c:pt idx="14">
                        <c:v>-8.5935226152921013E-3</c:v>
                      </c:pt>
                      <c:pt idx="15">
                        <c:v>-8.5935226152921013E-3</c:v>
                      </c:pt>
                      <c:pt idx="16">
                        <c:v>-8.5935226152921013E-3</c:v>
                      </c:pt>
                      <c:pt idx="17">
                        <c:v>-8.5935226152921013E-3</c:v>
                      </c:pt>
                      <c:pt idx="18">
                        <c:v>-8.5935226152921013E-3</c:v>
                      </c:pt>
                      <c:pt idx="19">
                        <c:v>-8.5935226152921013E-3</c:v>
                      </c:pt>
                      <c:pt idx="20">
                        <c:v>-8.5935226152921013E-3</c:v>
                      </c:pt>
                      <c:pt idx="21">
                        <c:v>-8.5935226152921013E-3</c:v>
                      </c:pt>
                      <c:pt idx="22">
                        <c:v>-8.5935226152921013E-3</c:v>
                      </c:pt>
                      <c:pt idx="23">
                        <c:v>-8.5935226152921013E-3</c:v>
                      </c:pt>
                      <c:pt idx="24">
                        <c:v>-8.5935226152921013E-3</c:v>
                      </c:pt>
                      <c:pt idx="25">
                        <c:v>-8.5935226152921013E-3</c:v>
                      </c:pt>
                      <c:pt idx="26">
                        <c:v>-8.5935226152921013E-3</c:v>
                      </c:pt>
                      <c:pt idx="27">
                        <c:v>-8.5935226152921013E-3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E88-4022-A78D-BA901A748EFB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Sheet1!$K$9</c15:sqref>
                        </c15:formulaRef>
                      </c:ext>
                    </c:extLst>
                    <c:strCache>
                      <c:ptCount val="1"/>
                      <c:pt idx="0">
                        <c:v>0.0763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Sheet1!$F$10:$F$37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Sheet1!$K$10:$K$37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3.7954535970343997E-20</c:v>
                      </c:pt>
                      <c:pt idx="1">
                        <c:v>2.3590436826415326E-6</c:v>
                      </c:pt>
                      <c:pt idx="2">
                        <c:v>1.3879612438694604E-2</c:v>
                      </c:pt>
                      <c:pt idx="3">
                        <c:v>7.807558878807247E-2</c:v>
                      </c:pt>
                      <c:pt idx="4">
                        <c:v>2.3674234310843902E-2</c:v>
                      </c:pt>
                      <c:pt idx="5">
                        <c:v>1.72740419419029E-3</c:v>
                      </c:pt>
                      <c:pt idx="6" formatCode="0.0000">
                        <c:v>5.9648846081536242E-5</c:v>
                      </c:pt>
                      <c:pt idx="7">
                        <c:v>1.3759464807149713E-6</c:v>
                      </c:pt>
                      <c:pt idx="8">
                        <c:v>2.5644246512267226E-8</c:v>
                      </c:pt>
                      <c:pt idx="9">
                        <c:v>4.3141961964372567E-10</c:v>
                      </c:pt>
                      <c:pt idx="10">
                        <c:v>7.0057688968969415E-12</c:v>
                      </c:pt>
                      <c:pt idx="11">
                        <c:v>1.1447682835465725E-13</c:v>
                      </c:pt>
                      <c:pt idx="12">
                        <c:v>1.932101508639968E-15</c:v>
                      </c:pt>
                      <c:pt idx="13">
                        <c:v>3.4239437541953958E-17</c:v>
                      </c:pt>
                      <c:pt idx="14">
                        <c:v>6.4362429876503845E-19</c:v>
                      </c:pt>
                      <c:pt idx="15">
                        <c:v>1.2912038252425565E-20</c:v>
                      </c:pt>
                      <c:pt idx="16">
                        <c:v>2.7738181328016144E-22</c:v>
                      </c:pt>
                      <c:pt idx="17">
                        <c:v>6.3907364353228813E-24</c:v>
                      </c:pt>
                      <c:pt idx="18">
                        <c:v>1.5795937248565364E-25</c:v>
                      </c:pt>
                      <c:pt idx="19">
                        <c:v>4.1863046500370312E-27</c:v>
                      </c:pt>
                      <c:pt idx="20">
                        <c:v>1.1883211809184575E-28</c:v>
                      </c:pt>
                      <c:pt idx="21">
                        <c:v>3.6076240887928345E-30</c:v>
                      </c:pt>
                      <c:pt idx="22">
                        <c:v>1.1693866635856471E-31</c:v>
                      </c:pt>
                      <c:pt idx="23">
                        <c:v>4.0396914566688695E-33</c:v>
                      </c:pt>
                      <c:pt idx="24">
                        <c:v>1.4844400324478155E-34</c:v>
                      </c:pt>
                      <c:pt idx="25">
                        <c:v>5.7910895779823745E-36</c:v>
                      </c:pt>
                      <c:pt idx="26">
                        <c:v>2.3938751516025452E-37</c:v>
                      </c:pt>
                      <c:pt idx="27">
                        <c:v>1.0465456709648455E-38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E88-4022-A78D-BA901A748EF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Sheet1!$L$9</c15:sqref>
                        </c15:formulaRef>
                      </c:ext>
                    </c:extLst>
                    <c:strCache>
                      <c:ptCount val="1"/>
                      <c:pt idx="0">
                        <c:v>0.0577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Sheet1!$F$10:$F$37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Sheet1!$L$10:$L$37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2.0427459726006333E-21</c:v>
                      </c:pt>
                      <c:pt idx="1">
                        <c:v>2.4756139638311619E-7</c:v>
                      </c:pt>
                      <c:pt idx="2">
                        <c:v>3.0851568263989366E-3</c:v>
                      </c:pt>
                      <c:pt idx="3">
                        <c:v>5.1289723037498097E-2</c:v>
                      </c:pt>
                      <c:pt idx="4">
                        <c:v>9.2035021686106833E-2</c:v>
                      </c:pt>
                      <c:pt idx="5">
                        <c:v>9.7737824292023434E-2</c:v>
                      </c:pt>
                      <c:pt idx="6" formatCode="0.00">
                        <c:v>9.8012457477114734E-2</c:v>
                      </c:pt>
                      <c:pt idx="7">
                        <c:v>9.8019726262644422E-2</c:v>
                      </c:pt>
                      <c:pt idx="8">
                        <c:v>9.8019865056014746E-2</c:v>
                      </c:pt>
                      <c:pt idx="9">
                        <c:v>9.801986729655239E-2</c:v>
                      </c:pt>
                      <c:pt idx="10">
                        <c:v>9.8019867330171054E-2</c:v>
                      </c:pt>
                      <c:pt idx="11">
                        <c:v>9.8019867330667906E-2</c:v>
                      </c:pt>
                      <c:pt idx="12">
                        <c:v>9.80198673306754E-2</c:v>
                      </c:pt>
                      <c:pt idx="13">
                        <c:v>9.8019867330675525E-2</c:v>
                      </c:pt>
                      <c:pt idx="14">
                        <c:v>9.8019867330675525E-2</c:v>
                      </c:pt>
                      <c:pt idx="15">
                        <c:v>9.8019867330675525E-2</c:v>
                      </c:pt>
                      <c:pt idx="16">
                        <c:v>9.8019867330675525E-2</c:v>
                      </c:pt>
                      <c:pt idx="17">
                        <c:v>9.8019867330675525E-2</c:v>
                      </c:pt>
                      <c:pt idx="18">
                        <c:v>9.8019867330675525E-2</c:v>
                      </c:pt>
                      <c:pt idx="19">
                        <c:v>9.8019867330675525E-2</c:v>
                      </c:pt>
                      <c:pt idx="20">
                        <c:v>9.8019867330675525E-2</c:v>
                      </c:pt>
                      <c:pt idx="21">
                        <c:v>9.8019867330675525E-2</c:v>
                      </c:pt>
                      <c:pt idx="22">
                        <c:v>9.8019867330675525E-2</c:v>
                      </c:pt>
                      <c:pt idx="23">
                        <c:v>9.8019867330675525E-2</c:v>
                      </c:pt>
                      <c:pt idx="24">
                        <c:v>9.8019867330675525E-2</c:v>
                      </c:pt>
                      <c:pt idx="25">
                        <c:v>9.8019867330675525E-2</c:v>
                      </c:pt>
                      <c:pt idx="26">
                        <c:v>9.8019867330675525E-2</c:v>
                      </c:pt>
                      <c:pt idx="27">
                        <c:v>9.8019867330675525E-2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E88-4022-A78D-BA901A748EFB}"/>
                  </c:ext>
                </c:extLst>
              </c15:ser>
            </c15:filteredScatterSeries>
          </c:ext>
        </c:extLst>
      </c:scatterChart>
      <c:valAx>
        <c:axId val="87360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04792"/>
        <c:crosses val="autoZero"/>
        <c:crossBetween val="midCat"/>
      </c:valAx>
      <c:valAx>
        <c:axId val="87360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03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GREEK AGAINST STOCK PRICE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DELTA</c:v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Sheet1!$F$10:$F$37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Sheet1!$H$10:$H$37</c:f>
              <c:numCache>
                <c:formatCode>General</c:formatCode>
                <c:ptCount val="28"/>
                <c:pt idx="0">
                  <c:v>8.3035454521653377E-20</c:v>
                </c:pt>
                <c:pt idx="1">
                  <c:v>5.1057002651745579E-6</c:v>
                </c:pt>
                <c:pt idx="2">
                  <c:v>4.3674822886644149E-2</c:v>
                </c:pt>
                <c:pt idx="3">
                  <c:v>0.58251564682052248</c:v>
                </c:pt>
                <c:pt idx="4">
                  <c:v>0.95505298897844992</c:v>
                </c:pt>
                <c:pt idx="5">
                  <c:v>0.9982011307814197</c:v>
                </c:pt>
                <c:pt idx="6">
                  <c:v>0.99995910697634804</c:v>
                </c:pt>
                <c:pt idx="7">
                  <c:v>0.99999931498074524</c:v>
                </c:pt>
                <c:pt idx="8">
                  <c:v>0.99999999014541041</c:v>
                </c:pt>
                <c:pt idx="9">
                  <c:v>0.99999999986660193</c:v>
                </c:pt>
                <c:pt idx="10">
                  <c:v>0.99999999999820366</c:v>
                </c:pt>
                <c:pt idx="11">
                  <c:v>0.99999999999997513</c:v>
                </c:pt>
                <c:pt idx="12">
                  <c:v>0.99999999999999967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60-42B8-9330-367612AE5449}"/>
            </c:ext>
          </c:extLst>
        </c:ser>
        <c:ser>
          <c:idx val="2"/>
          <c:order val="2"/>
          <c:tx>
            <c:v>GAMMA</c:v>
          </c:tx>
          <c:spPr>
            <a:ln w="2857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Sheet1!$F$10:$F$37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Sheet1!$I$10:$I$37</c:f>
              <c:numCache>
                <c:formatCode>0.00</c:formatCode>
                <c:ptCount val="28"/>
                <c:pt idx="0">
                  <c:v>5.0606047960458666E-19</c:v>
                </c:pt>
                <c:pt idx="1">
                  <c:v>7.8634789421384418E-6</c:v>
                </c:pt>
                <c:pt idx="2">
                  <c:v>2.0562388798066083E-2</c:v>
                </c:pt>
                <c:pt idx="3">
                  <c:v>6.5062990656727063E-2</c:v>
                </c:pt>
                <c:pt idx="4">
                  <c:v>1.2626258299116748E-2</c:v>
                </c:pt>
                <c:pt idx="5">
                  <c:v>6.3977933118158892E-4</c:v>
                </c:pt>
                <c:pt idx="6">
                  <c:v>1.6230978525588092E-5</c:v>
                </c:pt>
                <c:pt idx="7">
                  <c:v>2.8665551681561902E-7</c:v>
                </c:pt>
                <c:pt idx="8">
                  <c:v>4.2212751460522179E-9</c:v>
                </c:pt>
                <c:pt idx="9">
                  <c:v>5.7522615952496753E-11</c:v>
                </c:pt>
                <c:pt idx="10">
                  <c:v>7.7198555337707348E-13</c:v>
                </c:pt>
                <c:pt idx="11">
                  <c:v>1.059970632913493E-14</c:v>
                </c:pt>
                <c:pt idx="12">
                  <c:v>1.5243404407415922E-16</c:v>
                </c:pt>
                <c:pt idx="13">
                  <c:v>2.3292134382281604E-18</c:v>
                </c:pt>
                <c:pt idx="14">
                  <c:v>3.8140699186076351E-20</c:v>
                </c:pt>
                <c:pt idx="15">
                  <c:v>6.7250199231383149E-22</c:v>
                </c:pt>
                <c:pt idx="16">
                  <c:v>1.2797315491587608E-23</c:v>
                </c:pt>
                <c:pt idx="17">
                  <c:v>2.6299326894332843E-25</c:v>
                </c:pt>
                <c:pt idx="18">
                  <c:v>5.8341411813722483E-27</c:v>
                </c:pt>
                <c:pt idx="19">
                  <c:v>1.3954348833456772E-28</c:v>
                </c:pt>
                <c:pt idx="20">
                  <c:v>3.5928078032304079E-30</c:v>
                </c:pt>
                <c:pt idx="21">
                  <c:v>9.9383583713301222E-32</c:v>
                </c:pt>
                <c:pt idx="22">
                  <c:v>2.9474144009720155E-33</c:v>
                </c:pt>
                <c:pt idx="23">
                  <c:v>9.3511376311779407E-35</c:v>
                </c:pt>
                <c:pt idx="24">
                  <c:v>3.1668054025553393E-36</c:v>
                </c:pt>
                <c:pt idx="25">
                  <c:v>1.1422267412194032E-37</c:v>
                </c:pt>
                <c:pt idx="26">
                  <c:v>4.3783724766393148E-39</c:v>
                </c:pt>
                <c:pt idx="27">
                  <c:v>1.7798395764708256E-40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60-42B8-9330-367612AE5449}"/>
            </c:ext>
          </c:extLst>
        </c:ser>
        <c:ser>
          <c:idx val="3"/>
          <c:order val="3"/>
          <c:tx>
            <c:v>THETA</c:v>
          </c:tx>
          <c:spPr>
            <a:ln w="2857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Sheet1!$F$10:$F$37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Sheet1!$J$10:$J$37</c:f>
              <c:numCache>
                <c:formatCode>General</c:formatCode>
                <c:ptCount val="28"/>
                <c:pt idx="0">
                  <c:v>-6.4181918612160545E-21</c:v>
                </c:pt>
                <c:pt idx="1">
                  <c:v>-4.0949201545959367E-7</c:v>
                </c:pt>
                <c:pt idx="2">
                  <c:v>-2.5520596294971018E-3</c:v>
                </c:pt>
                <c:pt idx="3">
                  <c:v>-1.7330976615025442E-2</c:v>
                </c:pt>
                <c:pt idx="4">
                  <c:v>-1.1960478774263157E-2</c:v>
                </c:pt>
                <c:pt idx="5">
                  <c:v>-8.8527524082086771E-3</c:v>
                </c:pt>
                <c:pt idx="6" formatCode="0.000">
                  <c:v>-8.6026782740618191E-3</c:v>
                </c:pt>
                <c:pt idx="7">
                  <c:v>-8.5937364306670275E-3</c:v>
                </c:pt>
                <c:pt idx="8">
                  <c:v>-8.5935266313623623E-3</c:v>
                </c:pt>
                <c:pt idx="9">
                  <c:v>-8.593522683218776E-3</c:v>
                </c:pt>
                <c:pt idx="10">
                  <c:v>-8.5935226163995054E-3</c:v>
                </c:pt>
                <c:pt idx="11">
                  <c:v>-8.5935226153102517E-3</c:v>
                </c:pt>
                <c:pt idx="12">
                  <c:v>-8.5935226152924083E-3</c:v>
                </c:pt>
                <c:pt idx="13">
                  <c:v>-8.5935226152921065E-3</c:v>
                </c:pt>
                <c:pt idx="14">
                  <c:v>-8.5935226152921013E-3</c:v>
                </c:pt>
                <c:pt idx="15">
                  <c:v>-8.5935226152921013E-3</c:v>
                </c:pt>
                <c:pt idx="16">
                  <c:v>-8.5935226152921013E-3</c:v>
                </c:pt>
                <c:pt idx="17">
                  <c:v>-8.5935226152921013E-3</c:v>
                </c:pt>
                <c:pt idx="18">
                  <c:v>-8.5935226152921013E-3</c:v>
                </c:pt>
                <c:pt idx="19">
                  <c:v>-8.5935226152921013E-3</c:v>
                </c:pt>
                <c:pt idx="20">
                  <c:v>-8.5935226152921013E-3</c:v>
                </c:pt>
                <c:pt idx="21">
                  <c:v>-8.5935226152921013E-3</c:v>
                </c:pt>
                <c:pt idx="22">
                  <c:v>-8.5935226152921013E-3</c:v>
                </c:pt>
                <c:pt idx="23">
                  <c:v>-8.5935226152921013E-3</c:v>
                </c:pt>
                <c:pt idx="24">
                  <c:v>-8.5935226152921013E-3</c:v>
                </c:pt>
                <c:pt idx="25">
                  <c:v>-8.5935226152921013E-3</c:v>
                </c:pt>
                <c:pt idx="26">
                  <c:v>-8.5935226152921013E-3</c:v>
                </c:pt>
                <c:pt idx="27">
                  <c:v>-8.5935226152921013E-3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60-42B8-9330-367612AE5449}"/>
            </c:ext>
          </c:extLst>
        </c:ser>
        <c:ser>
          <c:idx val="4"/>
          <c:order val="4"/>
          <c:tx>
            <c:v>VEGA</c:v>
          </c:tx>
          <c:spPr>
            <a:ln w="2857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Sheet1!$F$10:$F$37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Sheet1!$K$10:$K$37</c:f>
              <c:numCache>
                <c:formatCode>General</c:formatCode>
                <c:ptCount val="28"/>
                <c:pt idx="0">
                  <c:v>3.7954535970343997E-20</c:v>
                </c:pt>
                <c:pt idx="1">
                  <c:v>2.3590436826415326E-6</c:v>
                </c:pt>
                <c:pt idx="2">
                  <c:v>1.3879612438694604E-2</c:v>
                </c:pt>
                <c:pt idx="3">
                  <c:v>7.807558878807247E-2</c:v>
                </c:pt>
                <c:pt idx="4">
                  <c:v>2.3674234310843902E-2</c:v>
                </c:pt>
                <c:pt idx="5">
                  <c:v>1.72740419419029E-3</c:v>
                </c:pt>
                <c:pt idx="6" formatCode="0.0000">
                  <c:v>5.9648846081536242E-5</c:v>
                </c:pt>
                <c:pt idx="7">
                  <c:v>1.3759464807149713E-6</c:v>
                </c:pt>
                <c:pt idx="8">
                  <c:v>2.5644246512267226E-8</c:v>
                </c:pt>
                <c:pt idx="9">
                  <c:v>4.3141961964372567E-10</c:v>
                </c:pt>
                <c:pt idx="10">
                  <c:v>7.0057688968969415E-12</c:v>
                </c:pt>
                <c:pt idx="11">
                  <c:v>1.1447682835465725E-13</c:v>
                </c:pt>
                <c:pt idx="12">
                  <c:v>1.932101508639968E-15</c:v>
                </c:pt>
                <c:pt idx="13">
                  <c:v>3.4239437541953958E-17</c:v>
                </c:pt>
                <c:pt idx="14">
                  <c:v>6.4362429876503845E-19</c:v>
                </c:pt>
                <c:pt idx="15">
                  <c:v>1.2912038252425565E-20</c:v>
                </c:pt>
                <c:pt idx="16">
                  <c:v>2.7738181328016144E-22</c:v>
                </c:pt>
                <c:pt idx="17">
                  <c:v>6.3907364353228813E-24</c:v>
                </c:pt>
                <c:pt idx="18">
                  <c:v>1.5795937248565364E-25</c:v>
                </c:pt>
                <c:pt idx="19">
                  <c:v>4.1863046500370312E-27</c:v>
                </c:pt>
                <c:pt idx="20">
                  <c:v>1.1883211809184575E-28</c:v>
                </c:pt>
                <c:pt idx="21">
                  <c:v>3.6076240887928345E-30</c:v>
                </c:pt>
                <c:pt idx="22">
                  <c:v>1.1693866635856471E-31</c:v>
                </c:pt>
                <c:pt idx="23">
                  <c:v>4.0396914566688695E-33</c:v>
                </c:pt>
                <c:pt idx="24">
                  <c:v>1.4844400324478155E-34</c:v>
                </c:pt>
                <c:pt idx="25">
                  <c:v>5.7910895779823745E-36</c:v>
                </c:pt>
                <c:pt idx="26">
                  <c:v>2.3938751516025452E-37</c:v>
                </c:pt>
                <c:pt idx="27">
                  <c:v>1.0465456709648455E-38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60-42B8-9330-367612AE5449}"/>
            </c:ext>
          </c:extLst>
        </c:ser>
        <c:ser>
          <c:idx val="5"/>
          <c:order val="5"/>
          <c:tx>
            <c:v>RHO</c:v>
          </c:tx>
          <c:spPr>
            <a:ln w="2857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Sheet1!$F$10:$F$37</c:f>
              <c:numCache>
                <c:formatCode>0.00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</c:numCache>
            </c:numRef>
          </c:xVal>
          <c:yVal>
            <c:numRef>
              <c:f>Sheet1!$L$10:$L$37</c:f>
              <c:numCache>
                <c:formatCode>General</c:formatCode>
                <c:ptCount val="28"/>
                <c:pt idx="0">
                  <c:v>2.0427459726006333E-21</c:v>
                </c:pt>
                <c:pt idx="1">
                  <c:v>2.4756139638311619E-7</c:v>
                </c:pt>
                <c:pt idx="2">
                  <c:v>3.0851568263989366E-3</c:v>
                </c:pt>
                <c:pt idx="3">
                  <c:v>5.1289723037498097E-2</c:v>
                </c:pt>
                <c:pt idx="4">
                  <c:v>9.2035021686106833E-2</c:v>
                </c:pt>
                <c:pt idx="5">
                  <c:v>9.7737824292023434E-2</c:v>
                </c:pt>
                <c:pt idx="6" formatCode="0.00">
                  <c:v>9.8012457477114734E-2</c:v>
                </c:pt>
                <c:pt idx="7">
                  <c:v>9.8019726262644422E-2</c:v>
                </c:pt>
                <c:pt idx="8">
                  <c:v>9.8019865056014746E-2</c:v>
                </c:pt>
                <c:pt idx="9">
                  <c:v>9.801986729655239E-2</c:v>
                </c:pt>
                <c:pt idx="10">
                  <c:v>9.8019867330171054E-2</c:v>
                </c:pt>
                <c:pt idx="11">
                  <c:v>9.8019867330667906E-2</c:v>
                </c:pt>
                <c:pt idx="12">
                  <c:v>9.80198673306754E-2</c:v>
                </c:pt>
                <c:pt idx="13">
                  <c:v>9.8019867330675525E-2</c:v>
                </c:pt>
                <c:pt idx="14">
                  <c:v>9.8019867330675525E-2</c:v>
                </c:pt>
                <c:pt idx="15">
                  <c:v>9.8019867330675525E-2</c:v>
                </c:pt>
                <c:pt idx="16">
                  <c:v>9.8019867330675525E-2</c:v>
                </c:pt>
                <c:pt idx="17">
                  <c:v>9.8019867330675525E-2</c:v>
                </c:pt>
                <c:pt idx="18">
                  <c:v>9.8019867330675525E-2</c:v>
                </c:pt>
                <c:pt idx="19">
                  <c:v>9.8019867330675525E-2</c:v>
                </c:pt>
                <c:pt idx="20">
                  <c:v>9.8019867330675525E-2</c:v>
                </c:pt>
                <c:pt idx="21">
                  <c:v>9.8019867330675525E-2</c:v>
                </c:pt>
                <c:pt idx="22">
                  <c:v>9.8019867330675525E-2</c:v>
                </c:pt>
                <c:pt idx="23">
                  <c:v>9.8019867330675525E-2</c:v>
                </c:pt>
                <c:pt idx="24">
                  <c:v>9.8019867330675525E-2</c:v>
                </c:pt>
                <c:pt idx="25">
                  <c:v>9.8019867330675525E-2</c:v>
                </c:pt>
                <c:pt idx="26">
                  <c:v>9.8019867330675525E-2</c:v>
                </c:pt>
                <c:pt idx="27">
                  <c:v>9.8019867330675525E-2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60-42B8-9330-367612AE5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603832"/>
        <c:axId val="87360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Sheet1!$G$9</c15:sqref>
                        </c15:formulaRef>
                      </c:ext>
                    </c:extLst>
                    <c:strCache>
                      <c:ptCount val="1"/>
                      <c:pt idx="0">
                        <c:v>3.399</c:v>
                      </c:pt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Sheet1!$F$10:$F$37</c15:sqref>
                        </c15:formulaRef>
                      </c:ext>
                    </c:extLst>
                    <c:numCache>
                      <c:formatCode>0.00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Sheet1!$G$10:$G$37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1.325615617628054E-20</c:v>
                      </c:pt>
                      <c:pt idx="1">
                        <c:v>3.0894467502446917E-6</c:v>
                      </c:pt>
                      <c:pt idx="2">
                        <c:v>7.6181956039749865E-2</c:v>
                      </c:pt>
                      <c:pt idx="3">
                        <c:v>2.7847366578216608</c:v>
                      </c:pt>
                      <c:pt idx="4">
                        <c:v>10.938640774479765</c:v>
                      </c:pt>
                      <c:pt idx="5">
                        <c:v>20.796938130075809</c:v>
                      </c:pt>
                      <c:pt idx="6">
                        <c:v>30.792154497498473</c:v>
                      </c:pt>
                      <c:pt idx="7">
                        <c:v>40.792054693401845</c:v>
                      </c:pt>
                      <c:pt idx="8">
                        <c:v>50.792053090681044</c:v>
                      </c:pt>
                      <c:pt idx="9">
                        <c:v>60.792053068039245</c:v>
                      </c:pt>
                      <c:pt idx="10">
                        <c:v>70.792053067733974</c:v>
                      </c:pt>
                      <c:pt idx="11">
                        <c:v>80.792053067729853</c:v>
                      </c:pt>
                      <c:pt idx="12">
                        <c:v>90.792053067729782</c:v>
                      </c:pt>
                      <c:pt idx="13">
                        <c:v>100.7920530677298</c:v>
                      </c:pt>
                      <c:pt idx="14">
                        <c:v>110.7920530677298</c:v>
                      </c:pt>
                      <c:pt idx="15">
                        <c:v>120.7920530677298</c:v>
                      </c:pt>
                      <c:pt idx="16">
                        <c:v>130.7920530677298</c:v>
                      </c:pt>
                      <c:pt idx="17">
                        <c:v>140.7920530677298</c:v>
                      </c:pt>
                      <c:pt idx="18">
                        <c:v>150.7920530677298</c:v>
                      </c:pt>
                      <c:pt idx="19">
                        <c:v>160.7920530677298</c:v>
                      </c:pt>
                      <c:pt idx="20">
                        <c:v>170.7920530677298</c:v>
                      </c:pt>
                      <c:pt idx="21">
                        <c:v>180.7920530677298</c:v>
                      </c:pt>
                      <c:pt idx="22">
                        <c:v>190.7920530677298</c:v>
                      </c:pt>
                      <c:pt idx="23">
                        <c:v>200.7920530677298</c:v>
                      </c:pt>
                      <c:pt idx="24">
                        <c:v>210.7920530677298</c:v>
                      </c:pt>
                      <c:pt idx="25">
                        <c:v>220.7920530677298</c:v>
                      </c:pt>
                      <c:pt idx="26">
                        <c:v>230.7920530677298</c:v>
                      </c:pt>
                      <c:pt idx="27">
                        <c:v>240.7920530677298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60-42B8-9330-367612AE5449}"/>
                  </c:ext>
                </c:extLst>
              </c15:ser>
            </c15:filteredScatterSeries>
          </c:ext>
        </c:extLst>
      </c:scatterChart>
      <c:valAx>
        <c:axId val="87360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04792"/>
        <c:crosses val="autoZero"/>
        <c:crossBetween val="midCat"/>
      </c:valAx>
      <c:valAx>
        <c:axId val="87360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03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68036</xdr:colOff>
      <xdr:row>0</xdr:row>
      <xdr:rowOff>369336</xdr:rowOff>
    </xdr:from>
    <xdr:to>
      <xdr:col>19</xdr:col>
      <xdr:colOff>48597</xdr:colOff>
      <xdr:row>6</xdr:row>
      <xdr:rowOff>9718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AF025A5-7AD0-4708-A04D-0FC3BF822C34}"/>
            </a:ext>
          </a:extLst>
        </xdr:cNvPr>
        <xdr:cNvSpPr txBox="1"/>
      </xdr:nvSpPr>
      <xdr:spPr>
        <a:xfrm>
          <a:off x="9641633" y="369336"/>
          <a:ext cx="2468724" cy="865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200" b="1"/>
            <a:t>NOTES:</a:t>
          </a:r>
        </a:p>
        <a:p>
          <a:r>
            <a:rPr lang="en-ID" sz="1200" b="0"/>
            <a:t>For European Call</a:t>
          </a:r>
          <a:r>
            <a:rPr lang="en-ID" sz="1200" b="0" baseline="0"/>
            <a:t> or Put Option.</a:t>
          </a:r>
          <a:endParaRPr lang="en-ID" sz="1200" b="0"/>
        </a:p>
        <a:p>
          <a:r>
            <a:rPr lang="en-ID" sz="1200"/>
            <a:t>Vega and Rho are in percentage.</a:t>
          </a:r>
        </a:p>
        <a:p>
          <a:r>
            <a:rPr lang="en-ID" sz="1200"/>
            <a:t>Theta is expressed</a:t>
          </a:r>
          <a:r>
            <a:rPr lang="en-ID" sz="1200" baseline="0"/>
            <a:t> per calendar day.</a:t>
          </a:r>
          <a:endParaRPr lang="en-ID" sz="1200"/>
        </a:p>
      </xdr:txBody>
    </xdr:sp>
    <xdr:clientData/>
  </xdr:twoCellAnchor>
  <xdr:twoCellAnchor>
    <xdr:from>
      <xdr:col>10</xdr:col>
      <xdr:colOff>85530</xdr:colOff>
      <xdr:row>58</xdr:row>
      <xdr:rowOff>134905</xdr:rowOff>
    </xdr:from>
    <xdr:to>
      <xdr:col>18</xdr:col>
      <xdr:colOff>417934</xdr:colOff>
      <xdr:row>78</xdr:row>
      <xdr:rowOff>19439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BCB284-05DB-4813-B34D-B5120E51C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279920</xdr:colOff>
      <xdr:row>7</xdr:row>
      <xdr:rowOff>27991</xdr:rowOff>
    </xdr:from>
    <xdr:to>
      <xdr:col>19</xdr:col>
      <xdr:colOff>184669</xdr:colOff>
      <xdr:row>23</xdr:row>
      <xdr:rowOff>68037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67FA7-1F89-4548-9CBB-50D1C8019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281862</xdr:colOff>
      <xdr:row>23</xdr:row>
      <xdr:rowOff>97193</xdr:rowOff>
    </xdr:from>
    <xdr:to>
      <xdr:col>19</xdr:col>
      <xdr:colOff>194387</xdr:colOff>
      <xdr:row>38</xdr:row>
      <xdr:rowOff>106913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69B0AD-19FE-47B4-AEE1-6E3AF85DD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36933</xdr:colOff>
      <xdr:row>7</xdr:row>
      <xdr:rowOff>27990</xdr:rowOff>
    </xdr:from>
    <xdr:to>
      <xdr:col>11</xdr:col>
      <xdr:colOff>252705</xdr:colOff>
      <xdr:row>23</xdr:row>
      <xdr:rowOff>68036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C2CD88-B95D-40E9-B1AC-0510FA2DD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38877</xdr:colOff>
      <xdr:row>23</xdr:row>
      <xdr:rowOff>97196</xdr:rowOff>
    </xdr:from>
    <xdr:to>
      <xdr:col>11</xdr:col>
      <xdr:colOff>252704</xdr:colOff>
      <xdr:row>38</xdr:row>
      <xdr:rowOff>126352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92A3B55-6D2B-4C5F-92B1-1A26DEDAC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9720</xdr:colOff>
      <xdr:row>20</xdr:row>
      <xdr:rowOff>97195</xdr:rowOff>
    </xdr:from>
    <xdr:to>
      <xdr:col>3</xdr:col>
      <xdr:colOff>301301</xdr:colOff>
      <xdr:row>38</xdr:row>
      <xdr:rowOff>165230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F6559E1-ABA1-4053-A0BF-40C89626BA51}"/>
            </a:ext>
          </a:extLst>
        </xdr:cNvPr>
        <xdr:cNvSpPr txBox="1"/>
      </xdr:nvSpPr>
      <xdr:spPr>
        <a:xfrm>
          <a:off x="9720" y="3741965"/>
          <a:ext cx="2361811" cy="37322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D" sz="1800" b="1"/>
            <a:t>IMPORTANT!</a:t>
          </a:r>
        </a:p>
        <a:p>
          <a:r>
            <a:rPr lang="en-ID" sz="1200"/>
            <a:t>1. Please</a:t>
          </a:r>
          <a:r>
            <a:rPr lang="en-ID" sz="1200" baseline="0"/>
            <a:t> </a:t>
          </a:r>
          <a:r>
            <a:rPr lang="en-ID" sz="1200" b="1" baseline="0"/>
            <a:t>enable the macro</a:t>
          </a:r>
          <a:r>
            <a:rPr lang="en-ID" sz="1200" baseline="0"/>
            <a:t> for the calculator to be able to function properly.</a:t>
          </a:r>
        </a:p>
        <a:p>
          <a:r>
            <a:rPr lang="en-ID" sz="1200" baseline="0"/>
            <a:t>2. Please enter the needed values </a:t>
          </a:r>
          <a:r>
            <a:rPr lang="en-ID" sz="1200" b="1" baseline="0"/>
            <a:t>ONLY</a:t>
          </a:r>
          <a:r>
            <a:rPr lang="en-ID" sz="1200" baseline="0"/>
            <a:t> in the </a:t>
          </a:r>
          <a:r>
            <a:rPr lang="en-ID" sz="1200" b="1" baseline="0"/>
            <a:t>YELLOW CELLS</a:t>
          </a:r>
          <a:r>
            <a:rPr lang="en-ID" sz="1200" baseline="0"/>
            <a:t>. Do not change other cells as the other values and graphs will appear once you input the values.</a:t>
          </a:r>
        </a:p>
        <a:p>
          <a:r>
            <a:rPr lang="en-ID" sz="1200" baseline="0"/>
            <a:t>3. Especially for </a:t>
          </a:r>
          <a:r>
            <a:rPr lang="en-ID" sz="1200" b="1" u="sng" baseline="0"/>
            <a:t>Time at Expiration</a:t>
          </a:r>
          <a:r>
            <a:rPr lang="en-ID" sz="1200" b="0" u="none" baseline="0"/>
            <a:t>, you can choose type of unit. After you input and enter the value in yellow cell, you can click cell below and select calendar days or months.</a:t>
          </a:r>
        </a:p>
        <a:p>
          <a:r>
            <a:rPr lang="en-ID" sz="1200" b="0" u="none"/>
            <a:t>4.</a:t>
          </a:r>
          <a:r>
            <a:rPr lang="en-ID" sz="1200" b="0" u="none" baseline="0"/>
            <a:t> Volality, risk free-rate, and dividend yield are expressed per year.</a:t>
          </a:r>
          <a:endParaRPr lang="en-ID" sz="1200" b="0" u="none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F681F-2765-46F4-AE5E-C74572ED2447}">
  <sheetPr codeName="Sheet1"/>
  <dimension ref="A1:Y52"/>
  <sheetViews>
    <sheetView tabSelected="1" zoomScale="98" zoomScaleNormal="98" workbookViewId="0">
      <selection activeCell="T5" sqref="T5"/>
    </sheetView>
  </sheetViews>
  <sheetFormatPr defaultRowHeight="15" x14ac:dyDescent="0.25"/>
  <cols>
    <col min="1" max="1" width="12.5703125" customWidth="1"/>
    <col min="3" max="3" width="9.28515625" bestFit="1" customWidth="1"/>
    <col min="4" max="4" width="4.7109375" customWidth="1"/>
    <col min="6" max="6" width="9.140625" customWidth="1"/>
    <col min="7" max="7" width="11.140625" customWidth="1"/>
    <col min="8" max="9" width="9.140625" customWidth="1"/>
    <col min="10" max="10" width="10.28515625" bestFit="1" customWidth="1"/>
    <col min="11" max="11" width="12.28515625" bestFit="1" customWidth="1"/>
    <col min="12" max="13" width="9.28515625" customWidth="1"/>
    <col min="14" max="14" width="9.42578125" bestFit="1" customWidth="1"/>
    <col min="15" max="19" width="9.28515625" bestFit="1" customWidth="1"/>
    <col min="20" max="20" width="12.85546875" bestFit="1" customWidth="1"/>
  </cols>
  <sheetData>
    <row r="1" spans="1:25" ht="30" customHeight="1" x14ac:dyDescent="0.25">
      <c r="A1" s="39" t="s">
        <v>23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15"/>
      <c r="Q1" s="26"/>
      <c r="R1" s="26"/>
      <c r="S1" s="15"/>
      <c r="T1" s="15"/>
      <c r="U1" s="15"/>
      <c r="V1" s="15"/>
      <c r="W1" s="15"/>
      <c r="X1" s="15"/>
      <c r="Y1" s="15"/>
    </row>
    <row r="2" spans="1:25" ht="15.75" x14ac:dyDescent="0.25">
      <c r="A2" s="1" t="s">
        <v>0</v>
      </c>
      <c r="B2" s="1"/>
      <c r="C2" s="1"/>
      <c r="D2" s="2"/>
      <c r="E2" s="1"/>
      <c r="F2" s="1" t="s">
        <v>17</v>
      </c>
      <c r="G2" s="1"/>
      <c r="H2" s="3" t="s">
        <v>11</v>
      </c>
      <c r="I2" s="3"/>
      <c r="J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1"/>
      <c r="P2" s="15"/>
      <c r="Q2" s="15"/>
      <c r="R2" s="15"/>
      <c r="S2" s="15"/>
      <c r="T2" s="15"/>
      <c r="U2" s="15"/>
      <c r="V2" s="15"/>
      <c r="W2" s="15"/>
      <c r="X2" s="15"/>
      <c r="Y2" s="15"/>
    </row>
    <row r="3" spans="1:25" ht="9" customHeight="1" x14ac:dyDescent="0.25">
      <c r="A3" s="4"/>
      <c r="B3" s="4"/>
      <c r="C3" s="4"/>
      <c r="D3" s="5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25" ht="15.75" x14ac:dyDescent="0.25">
      <c r="A4" s="40" t="s">
        <v>1</v>
      </c>
      <c r="B4" s="40"/>
      <c r="C4" s="6">
        <v>41</v>
      </c>
      <c r="D4" s="7"/>
      <c r="E4" s="8"/>
      <c r="F4" s="8" t="s">
        <v>9</v>
      </c>
      <c r="G4" s="8"/>
      <c r="H4" s="9" cm="1">
        <f t="array" ref="H4">BSCall(C4, C6, C8, C10, C17, C12)</f>
        <v>3.3990781872368956</v>
      </c>
      <c r="I4" s="8"/>
      <c r="J4" s="10" cm="1">
        <f t="array" ref="J4">GreekDelta("Call", C4, C6, C8, C10, C17, C12)</f>
        <v>0.64540745050861692</v>
      </c>
      <c r="K4" s="11" cm="1">
        <f t="array" ref="K4">Greekgamma(C4, C6, C8, C10, C17, C12)</f>
        <v>6.0510598576190594E-2</v>
      </c>
      <c r="L4" s="11" cm="1">
        <f t="array" ref="L4">GreekTheta("Call", C4, C6, C8, C10, C17, C12)</f>
        <v>-1.7595436745165064E-2</v>
      </c>
      <c r="M4" s="11" cm="1">
        <f t="array" ref="M4">GreekVega(C4, C6, C8, C10, C17, C12)</f>
        <v>7.6288737154932285E-2</v>
      </c>
      <c r="N4" s="12" cm="1">
        <f t="array" ref="N4">GreekRho("Call", C4, C6, C8, C10, C17, C12)</f>
        <v>5.7656568209040991E-2</v>
      </c>
      <c r="O4" s="8"/>
      <c r="P4" s="15"/>
      <c r="Q4" s="15"/>
      <c r="R4" s="15"/>
      <c r="S4" s="15"/>
      <c r="T4" s="15"/>
      <c r="U4" s="15"/>
      <c r="V4" s="15"/>
      <c r="W4" s="15"/>
      <c r="X4" s="15"/>
      <c r="Y4" s="15"/>
    </row>
    <row r="5" spans="1:25" ht="9" customHeight="1" x14ac:dyDescent="0.25">
      <c r="A5" s="4"/>
      <c r="B5" s="4"/>
      <c r="C5" s="4"/>
      <c r="D5" s="5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15"/>
      <c r="Q5" s="15"/>
      <c r="R5" s="15"/>
      <c r="S5" s="15"/>
      <c r="T5" s="15"/>
      <c r="U5" s="15"/>
      <c r="V5" s="15"/>
      <c r="W5" s="15"/>
      <c r="X5" s="15"/>
      <c r="Y5" s="15"/>
    </row>
    <row r="6" spans="1:25" ht="15.75" x14ac:dyDescent="0.25">
      <c r="A6" s="40" t="s">
        <v>2</v>
      </c>
      <c r="B6" s="40"/>
      <c r="C6" s="6">
        <v>40</v>
      </c>
      <c r="D6" s="7"/>
      <c r="E6" s="8"/>
      <c r="F6" s="8" t="s">
        <v>10</v>
      </c>
      <c r="G6" s="8"/>
      <c r="H6" s="9" cm="1">
        <f t="array" ref="H6">BSPut(C4, C6, C8, C10, C17, C12)</f>
        <v>1.6070251195071066</v>
      </c>
      <c r="I6" s="8"/>
      <c r="J6" s="10" cm="1">
        <f t="array" ref="J6">GreekDelta("Put", C4, C6, C8, C10, C17, C12)</f>
        <v>-0.35459254949138308</v>
      </c>
      <c r="K6" s="11">
        <f>K4</f>
        <v>6.0510598576190594E-2</v>
      </c>
      <c r="L6" s="11" cm="1">
        <f t="array" ref="L6">GreekTheta("Put", C4, C6, C8, C10, C17, C12)</f>
        <v>-9.0019141298729646E-3</v>
      </c>
      <c r="M6" s="11">
        <f>M4</f>
        <v>7.6288737154932285E-2</v>
      </c>
      <c r="N6" s="12" cm="1">
        <f t="array" ref="N6">GreekRho("Put", C4, C6, C8, C10, C17, C12)</f>
        <v>-4.0363299121634534E-2</v>
      </c>
      <c r="O6" s="8"/>
      <c r="P6" s="15"/>
      <c r="Q6" s="15"/>
      <c r="R6" s="15"/>
      <c r="S6" s="15"/>
      <c r="T6" s="15"/>
      <c r="U6" s="15"/>
      <c r="V6" s="15"/>
      <c r="W6" s="15"/>
      <c r="X6" s="15"/>
      <c r="Y6" s="15"/>
    </row>
    <row r="7" spans="1:25" ht="9" customHeight="1" x14ac:dyDescent="0.25">
      <c r="A7" s="4"/>
      <c r="B7" s="4"/>
      <c r="C7" s="4"/>
      <c r="D7" s="5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15"/>
      <c r="Q7" s="15"/>
      <c r="R7" s="15"/>
      <c r="S7" s="15"/>
      <c r="T7" s="15"/>
      <c r="U7" s="15"/>
      <c r="V7" s="15"/>
      <c r="W7" s="15"/>
      <c r="X7" s="15"/>
      <c r="Y7" s="15"/>
    </row>
    <row r="8" spans="1:25" ht="15.75" x14ac:dyDescent="0.25">
      <c r="A8" s="40" t="s">
        <v>3</v>
      </c>
      <c r="B8" s="40"/>
      <c r="C8" s="13">
        <v>0.3</v>
      </c>
      <c r="D8" s="7"/>
      <c r="E8" s="28"/>
      <c r="F8" s="28">
        <f>IF(C6 &lt; 1000, 10, 500)</f>
        <v>10</v>
      </c>
      <c r="G8" s="28" t="s">
        <v>7</v>
      </c>
      <c r="H8" s="28" t="s">
        <v>12</v>
      </c>
      <c r="I8" s="28" t="s">
        <v>13</v>
      </c>
      <c r="J8" s="28" t="s">
        <v>14</v>
      </c>
      <c r="K8" s="28" t="s">
        <v>15</v>
      </c>
      <c r="L8" s="27" t="s">
        <v>16</v>
      </c>
      <c r="M8" s="28"/>
      <c r="N8" s="28" t="s">
        <v>8</v>
      </c>
      <c r="O8" s="28" t="s">
        <v>12</v>
      </c>
      <c r="P8" s="28" t="s">
        <v>13</v>
      </c>
      <c r="Q8" s="28" t="s">
        <v>14</v>
      </c>
      <c r="R8" s="28" t="s">
        <v>15</v>
      </c>
      <c r="S8" s="27" t="s">
        <v>16</v>
      </c>
      <c r="T8" s="28"/>
      <c r="U8" s="15"/>
      <c r="V8" s="15"/>
      <c r="W8" s="15"/>
      <c r="X8" s="15"/>
      <c r="Y8" s="15"/>
    </row>
    <row r="9" spans="1:25" ht="9" customHeight="1" x14ac:dyDescent="0.25">
      <c r="A9" s="4"/>
      <c r="B9" s="4"/>
      <c r="C9" s="4"/>
      <c r="D9" s="5"/>
      <c r="E9" s="28"/>
      <c r="F9" s="28"/>
      <c r="G9" s="27">
        <f>H4</f>
        <v>3.3990781872368956</v>
      </c>
      <c r="H9" s="27">
        <f>J4</f>
        <v>0.64540745050861692</v>
      </c>
      <c r="I9" s="31">
        <f>K4</f>
        <v>6.0510598576190594E-2</v>
      </c>
      <c r="J9" s="31">
        <f>L4</f>
        <v>-1.7595436745165064E-2</v>
      </c>
      <c r="K9" s="31">
        <f>M4</f>
        <v>7.6288737154932285E-2</v>
      </c>
      <c r="L9" s="31">
        <f>N4</f>
        <v>5.7656568209040991E-2</v>
      </c>
      <c r="M9" s="31"/>
      <c r="N9" s="31">
        <f>H6</f>
        <v>1.6070251195071066</v>
      </c>
      <c r="O9" s="31">
        <f>J6</f>
        <v>-0.35459254949138308</v>
      </c>
      <c r="P9" s="29">
        <f>K6</f>
        <v>6.0510598576190594E-2</v>
      </c>
      <c r="Q9" s="29">
        <f>L6</f>
        <v>-9.0019141298729646E-3</v>
      </c>
      <c r="R9" s="29">
        <f>M6</f>
        <v>7.6288737154932285E-2</v>
      </c>
      <c r="S9" s="29">
        <f>N6</f>
        <v>-4.0363299121634534E-2</v>
      </c>
      <c r="T9" s="29"/>
      <c r="U9" s="15"/>
      <c r="V9" s="15"/>
      <c r="W9" s="15"/>
      <c r="X9" s="15"/>
      <c r="Y9" s="15"/>
    </row>
    <row r="10" spans="1:25" ht="15.75" x14ac:dyDescent="0.25">
      <c r="A10" s="40" t="s">
        <v>4</v>
      </c>
      <c r="B10" s="40"/>
      <c r="C10" s="13">
        <v>0.08</v>
      </c>
      <c r="D10" s="7"/>
      <c r="E10" s="28"/>
      <c r="F10" s="32">
        <f>$C$20</f>
        <v>10</v>
      </c>
      <c r="G10" s="28">
        <f t="dataTable" ref="G10:L37" dt2D="0" dtr="0" r1="C4" ca="1"/>
        <v>1.325615617628054E-20</v>
      </c>
      <c r="H10" s="28">
        <v>8.3035454521653377E-20</v>
      </c>
      <c r="I10" s="32">
        <v>5.0606047960458666E-19</v>
      </c>
      <c r="J10" s="28">
        <v>-6.4181918612160545E-21</v>
      </c>
      <c r="K10" s="28">
        <v>3.7954535970343997E-20</v>
      </c>
      <c r="L10" s="28">
        <v>2.0427459726006333E-21</v>
      </c>
      <c r="M10" s="32">
        <f>$C$20</f>
        <v>10</v>
      </c>
      <c r="N10" s="28">
        <f t="dataTable" ref="N10:S37" dt2D="0" dtr="0" r1="C4"/>
        <v>29.207946932270211</v>
      </c>
      <c r="O10" s="28">
        <v>-1</v>
      </c>
      <c r="P10" s="30">
        <v>5.0606047960458666E-19</v>
      </c>
      <c r="Q10" s="30">
        <v>8.5935226152921013E-3</v>
      </c>
      <c r="R10" s="30">
        <v>3.7954535970343997E-20</v>
      </c>
      <c r="S10" s="30">
        <v>-9.8019867330675525E-2</v>
      </c>
      <c r="T10" s="30"/>
      <c r="U10" s="15"/>
      <c r="V10" s="15"/>
      <c r="W10" s="15"/>
      <c r="X10" s="15"/>
      <c r="Y10" s="15"/>
    </row>
    <row r="11" spans="1:25" ht="9" customHeight="1" x14ac:dyDescent="0.25">
      <c r="A11" s="4"/>
      <c r="B11" s="4"/>
      <c r="C11" s="4"/>
      <c r="D11" s="5"/>
      <c r="E11" s="28"/>
      <c r="F11" s="32">
        <f>F10+$F$8</f>
        <v>20</v>
      </c>
      <c r="G11" s="28">
        <v>3.0894467502446917E-6</v>
      </c>
      <c r="H11" s="28">
        <v>5.1057002651745579E-6</v>
      </c>
      <c r="I11" s="32">
        <v>7.8634789421384418E-6</v>
      </c>
      <c r="J11" s="28">
        <v>-4.0949201545959367E-7</v>
      </c>
      <c r="K11" s="28">
        <v>2.3590436826415326E-6</v>
      </c>
      <c r="L11" s="28">
        <v>2.4756139638311619E-7</v>
      </c>
      <c r="M11" s="32">
        <f>M10+$F$8</f>
        <v>20</v>
      </c>
      <c r="N11" s="28">
        <v>19.207950021716961</v>
      </c>
      <c r="O11" s="28">
        <v>-0.99999489429973487</v>
      </c>
      <c r="P11" s="30">
        <v>7.8634789421384418E-6</v>
      </c>
      <c r="Q11" s="30">
        <v>8.5931131232766418E-3</v>
      </c>
      <c r="R11" s="30">
        <v>2.3590436826415326E-6</v>
      </c>
      <c r="S11" s="30">
        <v>-9.8019619769279143E-2</v>
      </c>
      <c r="T11" s="30"/>
      <c r="U11" s="15"/>
      <c r="V11" s="15"/>
      <c r="W11" s="15"/>
      <c r="X11" s="15"/>
      <c r="Y11" s="15"/>
    </row>
    <row r="12" spans="1:25" ht="15.75" x14ac:dyDescent="0.25">
      <c r="A12" s="40" t="s">
        <v>6</v>
      </c>
      <c r="B12" s="40"/>
      <c r="C12" s="13">
        <v>0</v>
      </c>
      <c r="D12" s="7"/>
      <c r="E12" s="28"/>
      <c r="F12" s="32">
        <f>F11+$F$8</f>
        <v>30</v>
      </c>
      <c r="G12" s="28">
        <v>7.6181956039749865E-2</v>
      </c>
      <c r="H12" s="28">
        <v>4.3674822886644149E-2</v>
      </c>
      <c r="I12" s="32">
        <v>2.0562388798066083E-2</v>
      </c>
      <c r="J12" s="28">
        <v>-2.5520596294971018E-3</v>
      </c>
      <c r="K12" s="28">
        <v>1.3879612438694604E-2</v>
      </c>
      <c r="L12" s="28">
        <v>3.0851568263989366E-3</v>
      </c>
      <c r="M12" s="32">
        <f>M11+$F$8</f>
        <v>30</v>
      </c>
      <c r="N12" s="28">
        <v>9.2841288883099615</v>
      </c>
      <c r="O12" s="28">
        <v>-0.95632517711335585</v>
      </c>
      <c r="P12" s="30">
        <v>2.0562388798066083E-2</v>
      </c>
      <c r="Q12" s="30">
        <v>6.0414629857949995E-3</v>
      </c>
      <c r="R12" s="30">
        <v>1.3879612438694604E-2</v>
      </c>
      <c r="S12" s="30">
        <v>-9.4934710504276598E-2</v>
      </c>
      <c r="T12" s="30"/>
      <c r="U12" s="15"/>
      <c r="V12" s="15"/>
      <c r="W12" s="15"/>
      <c r="X12" s="15"/>
      <c r="Y12" s="15"/>
    </row>
    <row r="13" spans="1:25" ht="9" customHeight="1" x14ac:dyDescent="0.25">
      <c r="A13" s="4"/>
      <c r="B13" s="4"/>
      <c r="C13" s="4"/>
      <c r="D13" s="5"/>
      <c r="E13" s="28"/>
      <c r="F13" s="32">
        <f t="shared" ref="F13:F37" si="0">F12+$F$8</f>
        <v>40</v>
      </c>
      <c r="G13" s="28">
        <v>2.7847366578216608</v>
      </c>
      <c r="H13" s="28">
        <v>0.58251564682052248</v>
      </c>
      <c r="I13" s="32">
        <v>6.5062990656727063E-2</v>
      </c>
      <c r="J13" s="28">
        <v>-1.7330976615025442E-2</v>
      </c>
      <c r="K13" s="28">
        <v>7.807558878807247E-2</v>
      </c>
      <c r="L13" s="28">
        <v>5.1289723037498097E-2</v>
      </c>
      <c r="M13" s="32">
        <f t="shared" ref="M13:M37" si="1">M12+$F$8</f>
        <v>40</v>
      </c>
      <c r="N13" s="28">
        <v>1.9926835900918718</v>
      </c>
      <c r="O13" s="28">
        <v>-0.41748435317947752</v>
      </c>
      <c r="P13" s="30">
        <v>6.5062990656727063E-2</v>
      </c>
      <c r="Q13" s="30">
        <v>-8.7374539997333422E-3</v>
      </c>
      <c r="R13" s="30">
        <v>7.807558878807247E-2</v>
      </c>
      <c r="S13" s="30">
        <v>-4.6730144293177435E-2</v>
      </c>
      <c r="T13" s="30"/>
      <c r="U13" s="15"/>
      <c r="V13" s="15"/>
      <c r="W13" s="15"/>
      <c r="X13" s="15"/>
      <c r="Y13" s="15"/>
    </row>
    <row r="14" spans="1:25" ht="15.75" x14ac:dyDescent="0.25">
      <c r="A14" s="40" t="s">
        <v>5</v>
      </c>
      <c r="B14" s="40"/>
      <c r="C14" s="8"/>
      <c r="D14" s="7"/>
      <c r="E14" s="33" t="s">
        <v>18</v>
      </c>
      <c r="F14" s="32">
        <f t="shared" si="0"/>
        <v>50</v>
      </c>
      <c r="G14" s="28">
        <v>10.938640774479765</v>
      </c>
      <c r="H14" s="28">
        <v>0.95505298897844992</v>
      </c>
      <c r="I14" s="32">
        <v>1.2626258299116748E-2</v>
      </c>
      <c r="J14" s="28">
        <v>-1.1960478774263157E-2</v>
      </c>
      <c r="K14" s="28">
        <v>2.3674234310843902E-2</v>
      </c>
      <c r="L14" s="28">
        <v>9.2035021686106833E-2</v>
      </c>
      <c r="M14" s="32">
        <f t="shared" si="1"/>
        <v>50</v>
      </c>
      <c r="N14" s="28">
        <v>0.14658770674997612</v>
      </c>
      <c r="O14" s="28">
        <v>-4.4947011021550076E-2</v>
      </c>
      <c r="P14" s="30">
        <v>1.2626258299116748E-2</v>
      </c>
      <c r="Q14" s="30">
        <v>-3.3669561589710572E-3</v>
      </c>
      <c r="R14" s="30">
        <v>2.3674234310843902E-2</v>
      </c>
      <c r="S14" s="30">
        <v>-5.9848456445686891E-3</v>
      </c>
      <c r="T14" s="30"/>
      <c r="U14" s="15"/>
      <c r="V14" s="15"/>
      <c r="W14" s="15"/>
      <c r="X14" s="15"/>
      <c r="Y14" s="15"/>
    </row>
    <row r="15" spans="1:25" ht="15.75" customHeight="1" x14ac:dyDescent="0.25">
      <c r="A15" s="17"/>
      <c r="B15" s="8"/>
      <c r="C15" s="14">
        <v>3</v>
      </c>
      <c r="D15" s="7"/>
      <c r="E15" s="34" t="s">
        <v>21</v>
      </c>
      <c r="F15" s="32">
        <f t="shared" si="0"/>
        <v>60</v>
      </c>
      <c r="G15" s="28">
        <v>20.796938130075809</v>
      </c>
      <c r="H15" s="28">
        <v>0.9982011307814197</v>
      </c>
      <c r="I15" s="32">
        <v>6.3977933118158892E-4</v>
      </c>
      <c r="J15" s="28">
        <v>-8.8527524082086771E-3</v>
      </c>
      <c r="K15" s="28">
        <v>1.72740419419029E-3</v>
      </c>
      <c r="L15" s="28">
        <v>9.7737824292023434E-2</v>
      </c>
      <c r="M15" s="32">
        <f t="shared" si="1"/>
        <v>60</v>
      </c>
      <c r="N15" s="28">
        <v>4.8850623460197085E-3</v>
      </c>
      <c r="O15" s="28">
        <v>-1.7988692185803012E-3</v>
      </c>
      <c r="P15" s="30">
        <v>6.3977933118158892E-4</v>
      </c>
      <c r="Q15" s="30">
        <v>-2.592297929165771E-4</v>
      </c>
      <c r="R15" s="30">
        <v>1.72740419419029E-3</v>
      </c>
      <c r="S15" s="30">
        <v>-2.8204303865208609E-4</v>
      </c>
      <c r="T15" s="30"/>
      <c r="U15" s="15"/>
      <c r="V15" s="15"/>
      <c r="W15" s="15"/>
      <c r="X15" s="15"/>
      <c r="Y15" s="15"/>
    </row>
    <row r="16" spans="1:25" ht="15.75" x14ac:dyDescent="0.25">
      <c r="A16" s="21"/>
      <c r="B16" s="20" t="s">
        <v>20</v>
      </c>
      <c r="C16" s="41" t="s">
        <v>19</v>
      </c>
      <c r="D16" s="42"/>
      <c r="E16" s="30" t="s">
        <v>19</v>
      </c>
      <c r="F16" s="32">
        <f t="shared" si="0"/>
        <v>70</v>
      </c>
      <c r="G16" s="30">
        <v>30.792154497498473</v>
      </c>
      <c r="H16" s="30">
        <v>0.99995910697634804</v>
      </c>
      <c r="I16" s="32">
        <v>1.6230978525588092E-5</v>
      </c>
      <c r="J16" s="35">
        <v>-8.6026782740618191E-3</v>
      </c>
      <c r="K16" s="29">
        <v>5.9648846081536242E-5</v>
      </c>
      <c r="L16" s="36">
        <v>9.8012457477114734E-2</v>
      </c>
      <c r="M16" s="32">
        <f t="shared" si="1"/>
        <v>70</v>
      </c>
      <c r="N16" s="29">
        <v>1.0142976868365849E-4</v>
      </c>
      <c r="O16" s="28">
        <v>-4.0893023651955573E-5</v>
      </c>
      <c r="P16" s="30">
        <v>1.6230978525588092E-5</v>
      </c>
      <c r="Q16" s="30">
        <v>-9.1556587697169889E-6</v>
      </c>
      <c r="R16" s="30">
        <v>5.9648846081536242E-5</v>
      </c>
      <c r="S16" s="30">
        <v>-7.409853560796045E-6</v>
      </c>
      <c r="T16" s="30"/>
      <c r="U16" s="15"/>
      <c r="V16" s="15"/>
      <c r="W16" s="15"/>
      <c r="X16" s="15"/>
      <c r="Y16" s="15"/>
    </row>
    <row r="17" spans="1:25" ht="15.75" x14ac:dyDescent="0.25">
      <c r="A17" s="16"/>
      <c r="B17" s="16"/>
      <c r="C17" s="24">
        <f>IF(OR(C16="--SELECT--"),0,IF(C16="Months",C15/12,C15/365))</f>
        <v>0.25</v>
      </c>
      <c r="D17" s="18"/>
      <c r="E17" s="30"/>
      <c r="F17" s="32">
        <f t="shared" si="0"/>
        <v>80</v>
      </c>
      <c r="G17" s="30">
        <v>40.792054693401845</v>
      </c>
      <c r="H17" s="30">
        <v>0.99999931498074524</v>
      </c>
      <c r="I17" s="32">
        <v>2.8665551681561902E-7</v>
      </c>
      <c r="J17" s="30">
        <v>-8.5937364306670275E-3</v>
      </c>
      <c r="K17" s="30">
        <v>1.3759464807149713E-6</v>
      </c>
      <c r="L17" s="30">
        <v>9.8019726262644422E-2</v>
      </c>
      <c r="M17" s="32">
        <f t="shared" si="1"/>
        <v>80</v>
      </c>
      <c r="N17" s="30">
        <v>1.6256720556384607E-6</v>
      </c>
      <c r="O17" s="28">
        <v>-6.8501925476471826E-7</v>
      </c>
      <c r="P17" s="30">
        <v>2.8665551681561902E-7</v>
      </c>
      <c r="Q17" s="30">
        <v>-2.1381537492535654E-7</v>
      </c>
      <c r="R17" s="30">
        <v>1.3759464807149713E-6</v>
      </c>
      <c r="S17" s="30">
        <v>-1.4106803109822266E-7</v>
      </c>
      <c r="T17" s="30"/>
      <c r="U17" s="15"/>
      <c r="V17" s="15"/>
      <c r="W17" s="15"/>
      <c r="X17" s="15"/>
      <c r="Y17" s="15"/>
    </row>
    <row r="18" spans="1:25" ht="15.75" x14ac:dyDescent="0.25">
      <c r="A18" s="16"/>
      <c r="B18" s="16"/>
      <c r="C18" s="16"/>
      <c r="D18" s="18"/>
      <c r="E18" s="30"/>
      <c r="F18" s="32">
        <f t="shared" si="0"/>
        <v>90</v>
      </c>
      <c r="G18" s="30">
        <v>50.792053090681044</v>
      </c>
      <c r="H18" s="30">
        <v>0.99999999014541041</v>
      </c>
      <c r="I18" s="32">
        <v>4.2212751460522179E-9</v>
      </c>
      <c r="J18" s="30">
        <v>-8.5935266313623623E-3</v>
      </c>
      <c r="K18" s="30">
        <v>2.5644246512267226E-8</v>
      </c>
      <c r="L18" s="30">
        <v>9.8019865056014746E-2</v>
      </c>
      <c r="M18" s="32">
        <f t="shared" si="1"/>
        <v>90</v>
      </c>
      <c r="N18" s="30">
        <v>2.2951255118641711E-8</v>
      </c>
      <c r="O18" s="28">
        <v>-9.854589588798035E-9</v>
      </c>
      <c r="P18" s="30">
        <v>4.2212751460522179E-9</v>
      </c>
      <c r="Q18" s="30">
        <v>-4.0160702629761174E-9</v>
      </c>
      <c r="R18" s="30">
        <v>2.5644246512267226E-8</v>
      </c>
      <c r="S18" s="30">
        <v>-2.2746607734297038E-9</v>
      </c>
      <c r="T18" s="30"/>
      <c r="U18" s="15"/>
      <c r="V18" s="15"/>
      <c r="W18" s="15"/>
      <c r="X18" s="15"/>
      <c r="Y18" s="15"/>
    </row>
    <row r="19" spans="1:25" ht="9" customHeight="1" x14ac:dyDescent="0.25">
      <c r="A19" s="15"/>
      <c r="B19" s="15"/>
      <c r="C19" s="15"/>
      <c r="D19" s="19"/>
      <c r="E19" s="30"/>
      <c r="F19" s="32">
        <f t="shared" si="0"/>
        <v>100</v>
      </c>
      <c r="G19" s="30">
        <v>60.792053068039245</v>
      </c>
      <c r="H19" s="30">
        <v>0.99999999986660193</v>
      </c>
      <c r="I19" s="32">
        <v>5.7522615952496753E-11</v>
      </c>
      <c r="J19" s="30">
        <v>-8.593522683218776E-3</v>
      </c>
      <c r="K19" s="30">
        <v>4.3141961964372567E-10</v>
      </c>
      <c r="L19" s="30">
        <v>9.801986729655239E-2</v>
      </c>
      <c r="M19" s="32">
        <f t="shared" si="1"/>
        <v>100</v>
      </c>
      <c r="N19" s="30">
        <v>3.0945557227823883E-10</v>
      </c>
      <c r="O19" s="28">
        <v>-1.3339807036771845E-10</v>
      </c>
      <c r="P19" s="30">
        <v>5.7522615952496753E-11</v>
      </c>
      <c r="Q19" s="30">
        <v>-6.7926675844710293E-11</v>
      </c>
      <c r="R19" s="30">
        <v>4.3141961964372567E-10</v>
      </c>
      <c r="S19" s="30">
        <v>-3.4123140478258793E-11</v>
      </c>
      <c r="T19" s="30"/>
      <c r="U19" s="15"/>
      <c r="V19" s="15"/>
      <c r="W19" s="15"/>
      <c r="X19" s="15"/>
      <c r="Y19" s="15"/>
    </row>
    <row r="20" spans="1:25" ht="15.75" customHeight="1" x14ac:dyDescent="0.25">
      <c r="A20" s="38" t="s">
        <v>22</v>
      </c>
      <c r="B20" s="38"/>
      <c r="C20" s="22">
        <v>10</v>
      </c>
      <c r="D20" s="18"/>
      <c r="E20" s="30"/>
      <c r="F20" s="32">
        <f t="shared" si="0"/>
        <v>110</v>
      </c>
      <c r="G20" s="30">
        <v>70.792053067733974</v>
      </c>
      <c r="H20" s="30">
        <v>0.99999999999820366</v>
      </c>
      <c r="I20" s="32">
        <v>7.7198555337707348E-13</v>
      </c>
      <c r="J20" s="30">
        <v>-8.5935226163995054E-3</v>
      </c>
      <c r="K20" s="30">
        <v>7.0057688968969415E-12</v>
      </c>
      <c r="L20" s="30">
        <v>9.8019867330171054E-2</v>
      </c>
      <c r="M20" s="32">
        <f t="shared" si="1"/>
        <v>110</v>
      </c>
      <c r="N20" s="30">
        <v>4.1850967136269901E-12</v>
      </c>
      <c r="O20" s="28">
        <v>-1.7963408538435033E-12</v>
      </c>
      <c r="P20" s="30">
        <v>7.7198555337707348E-13</v>
      </c>
      <c r="Q20" s="30">
        <v>-1.107405075892708E-12</v>
      </c>
      <c r="R20" s="30">
        <v>7.0057688968969415E-12</v>
      </c>
      <c r="S20" s="30">
        <v>-5.0447753478056374E-13</v>
      </c>
      <c r="T20" s="30"/>
      <c r="U20" s="15"/>
      <c r="V20" s="15"/>
      <c r="W20" s="15"/>
      <c r="X20" s="15"/>
      <c r="Y20" s="15"/>
    </row>
    <row r="21" spans="1:25" ht="15.75" customHeight="1" x14ac:dyDescent="0.25">
      <c r="A21" s="23"/>
      <c r="B21" s="23"/>
      <c r="C21" s="23"/>
      <c r="D21" s="23"/>
      <c r="E21" s="30"/>
      <c r="F21" s="32">
        <f t="shared" si="0"/>
        <v>120</v>
      </c>
      <c r="G21" s="30">
        <v>80.792053067729853</v>
      </c>
      <c r="H21" s="30">
        <v>0.99999999999997513</v>
      </c>
      <c r="I21" s="32">
        <v>1.059970632913493E-14</v>
      </c>
      <c r="J21" s="30">
        <v>-8.5935226153102517E-3</v>
      </c>
      <c r="K21" s="30">
        <v>1.1447682835465725E-13</v>
      </c>
      <c r="L21" s="30">
        <v>9.8019867330667906E-2</v>
      </c>
      <c r="M21" s="32">
        <f t="shared" si="1"/>
        <v>120</v>
      </c>
      <c r="N21" s="30">
        <v>6.3948846218409017E-14</v>
      </c>
      <c r="O21" s="28">
        <v>-2.4868995751603507E-14</v>
      </c>
      <c r="P21" s="30">
        <v>1.059970632913493E-14</v>
      </c>
      <c r="Q21" s="30">
        <v>-1.8150205274839989E-14</v>
      </c>
      <c r="R21" s="30">
        <v>1.1447682835465725E-13</v>
      </c>
      <c r="S21" s="30">
        <v>-7.6182742488386988E-15</v>
      </c>
      <c r="T21" s="30"/>
      <c r="U21" s="15"/>
      <c r="V21" s="15"/>
      <c r="W21" s="15"/>
      <c r="X21" s="15"/>
      <c r="Y21" s="15"/>
    </row>
    <row r="22" spans="1:25" ht="15.75" x14ac:dyDescent="0.25">
      <c r="A22" s="15"/>
      <c r="B22" s="15"/>
      <c r="C22" s="15"/>
      <c r="D22" s="15"/>
      <c r="E22" s="30"/>
      <c r="F22" s="32">
        <f t="shared" si="0"/>
        <v>130</v>
      </c>
      <c r="G22" s="30">
        <v>90.792053067729782</v>
      </c>
      <c r="H22" s="30">
        <v>0.99999999999999967</v>
      </c>
      <c r="I22" s="32">
        <v>1.5243404407415922E-16</v>
      </c>
      <c r="J22" s="30">
        <v>-8.5935226152924083E-3</v>
      </c>
      <c r="K22" s="30">
        <v>1.932101508639968E-15</v>
      </c>
      <c r="L22" s="30">
        <v>9.80198673306754E-2</v>
      </c>
      <c r="M22" s="32">
        <f t="shared" si="1"/>
        <v>130</v>
      </c>
      <c r="N22" s="30">
        <v>-7.1054273576010019E-15</v>
      </c>
      <c r="O22" s="28">
        <v>-3.3306690738754696E-16</v>
      </c>
      <c r="P22" s="30">
        <v>1.5243404407415922E-16</v>
      </c>
      <c r="Q22" s="30">
        <v>-3.0706972707250708E-16</v>
      </c>
      <c r="R22" s="30">
        <v>1.932101508639968E-15</v>
      </c>
      <c r="S22" s="30">
        <v>-1.2017625427915643E-16</v>
      </c>
      <c r="T22" s="30"/>
      <c r="U22" s="15"/>
      <c r="V22" s="15"/>
      <c r="W22" s="15"/>
      <c r="X22" s="15"/>
      <c r="Y22" s="15"/>
    </row>
    <row r="23" spans="1:25" ht="15.75" x14ac:dyDescent="0.25">
      <c r="A23" s="15"/>
      <c r="B23" s="15"/>
      <c r="C23" s="15"/>
      <c r="D23" s="15"/>
      <c r="E23" s="30"/>
      <c r="F23" s="32">
        <f t="shared" si="0"/>
        <v>140</v>
      </c>
      <c r="G23" s="30">
        <v>100.7920530677298</v>
      </c>
      <c r="H23" s="30">
        <v>1</v>
      </c>
      <c r="I23" s="32">
        <v>2.3292134382281604E-18</v>
      </c>
      <c r="J23" s="30">
        <v>-8.5935226152921065E-3</v>
      </c>
      <c r="K23" s="30">
        <v>3.4239437541953958E-17</v>
      </c>
      <c r="L23" s="30">
        <v>9.8019867330675525E-2</v>
      </c>
      <c r="M23" s="32">
        <f t="shared" si="1"/>
        <v>140</v>
      </c>
      <c r="N23" s="30">
        <v>7.1054273576010019E-15</v>
      </c>
      <c r="O23" s="28">
        <v>0</v>
      </c>
      <c r="P23" s="30">
        <v>2.3292134382281604E-18</v>
      </c>
      <c r="Q23" s="30">
        <v>-5.4523586816630498E-18</v>
      </c>
      <c r="R23" s="30">
        <v>3.4239437541953958E-17</v>
      </c>
      <c r="S23" s="30">
        <v>-2.0079791784445094E-18</v>
      </c>
      <c r="T23" s="30"/>
      <c r="U23" s="15"/>
      <c r="V23" s="15"/>
      <c r="W23" s="15"/>
      <c r="X23" s="15"/>
      <c r="Y23" s="15"/>
    </row>
    <row r="24" spans="1:25" ht="15.75" x14ac:dyDescent="0.25">
      <c r="A24" s="15"/>
      <c r="B24" s="15"/>
      <c r="C24" s="15"/>
      <c r="D24" s="15"/>
      <c r="E24" s="30"/>
      <c r="F24" s="32">
        <f t="shared" si="0"/>
        <v>150</v>
      </c>
      <c r="G24" s="30">
        <v>110.7920530677298</v>
      </c>
      <c r="H24" s="30">
        <v>1</v>
      </c>
      <c r="I24" s="32">
        <v>3.8140699186076351E-20</v>
      </c>
      <c r="J24" s="30">
        <v>-8.5935226152921013E-3</v>
      </c>
      <c r="K24" s="30">
        <v>6.4362429876503845E-19</v>
      </c>
      <c r="L24" s="30">
        <v>9.8019867330675525E-2</v>
      </c>
      <c r="M24" s="32">
        <f t="shared" si="1"/>
        <v>150</v>
      </c>
      <c r="N24" s="30">
        <v>7.1054273576010019E-15</v>
      </c>
      <c r="O24" s="28">
        <v>0</v>
      </c>
      <c r="P24" s="30">
        <v>3.8140699186076351E-20</v>
      </c>
      <c r="Q24" s="30">
        <v>-1.026594483805187E-19</v>
      </c>
      <c r="R24" s="30">
        <v>6.4362429876503845E-19</v>
      </c>
      <c r="S24" s="30">
        <v>-3.5836227094155699E-20</v>
      </c>
      <c r="T24" s="30"/>
      <c r="U24" s="15"/>
      <c r="V24" s="15"/>
      <c r="W24" s="15"/>
      <c r="X24" s="15"/>
      <c r="Y24" s="15"/>
    </row>
    <row r="25" spans="1:25" ht="15.75" x14ac:dyDescent="0.25">
      <c r="A25" s="15"/>
      <c r="B25" s="15"/>
      <c r="C25" s="15"/>
      <c r="D25" s="15"/>
      <c r="E25" s="30"/>
      <c r="F25" s="32">
        <f t="shared" si="0"/>
        <v>160</v>
      </c>
      <c r="G25" s="30">
        <v>120.7920530677298</v>
      </c>
      <c r="H25" s="30">
        <v>1</v>
      </c>
      <c r="I25" s="32">
        <v>6.7250199231383149E-22</v>
      </c>
      <c r="J25" s="30">
        <v>-8.5935226152921013E-3</v>
      </c>
      <c r="K25" s="30">
        <v>1.2912038252425565E-20</v>
      </c>
      <c r="L25" s="30">
        <v>9.8019867330675525E-2</v>
      </c>
      <c r="M25" s="32">
        <f t="shared" si="1"/>
        <v>160</v>
      </c>
      <c r="N25" s="30">
        <v>7.1054273576010019E-15</v>
      </c>
      <c r="O25" s="28">
        <v>0</v>
      </c>
      <c r="P25" s="30">
        <v>6.7250199231383149E-22</v>
      </c>
      <c r="Q25" s="30">
        <v>-2.0623482994045631E-21</v>
      </c>
      <c r="R25" s="30">
        <v>1.2912038252425565E-20</v>
      </c>
      <c r="S25" s="30">
        <v>-6.8641143321464071E-22</v>
      </c>
      <c r="T25" s="30"/>
      <c r="U25" s="15"/>
      <c r="V25" s="15"/>
      <c r="W25" s="15"/>
      <c r="X25" s="15"/>
      <c r="Y25" s="15"/>
    </row>
    <row r="26" spans="1:25" ht="15.75" x14ac:dyDescent="0.25">
      <c r="A26" s="15"/>
      <c r="B26" s="15"/>
      <c r="C26" s="15"/>
      <c r="D26" s="15"/>
      <c r="E26" s="30"/>
      <c r="F26" s="32">
        <f t="shared" si="0"/>
        <v>170</v>
      </c>
      <c r="G26" s="30">
        <v>130.7920530677298</v>
      </c>
      <c r="H26" s="30">
        <v>1</v>
      </c>
      <c r="I26" s="32">
        <v>1.2797315491587608E-23</v>
      </c>
      <c r="J26" s="30">
        <v>-8.5935226152921013E-3</v>
      </c>
      <c r="K26" s="30">
        <v>2.7738181328016144E-22</v>
      </c>
      <c r="L26" s="30">
        <v>9.8019867330675525E-2</v>
      </c>
      <c r="M26" s="32">
        <f t="shared" si="1"/>
        <v>170</v>
      </c>
      <c r="N26" s="30">
        <v>7.1054273576010019E-15</v>
      </c>
      <c r="O26" s="28">
        <v>0</v>
      </c>
      <c r="P26" s="30">
        <v>1.2797315491587608E-23</v>
      </c>
      <c r="Q26" s="30">
        <v>-4.4356961858603992E-23</v>
      </c>
      <c r="R26" s="30">
        <v>2.7738181328016144E-22</v>
      </c>
      <c r="S26" s="30">
        <v>-1.4144303700600914E-23</v>
      </c>
      <c r="T26" s="30"/>
      <c r="U26" s="15"/>
      <c r="V26" s="15"/>
      <c r="W26" s="15"/>
      <c r="X26" s="15"/>
      <c r="Y26" s="15"/>
    </row>
    <row r="27" spans="1:25" ht="15.75" x14ac:dyDescent="0.25">
      <c r="A27" s="15"/>
      <c r="B27" s="15"/>
      <c r="C27" s="15"/>
      <c r="D27" s="15"/>
      <c r="E27" s="30"/>
      <c r="F27" s="32">
        <f t="shared" si="0"/>
        <v>180</v>
      </c>
      <c r="G27" s="30">
        <v>140.7920530677298</v>
      </c>
      <c r="H27" s="30">
        <v>1</v>
      </c>
      <c r="I27" s="32">
        <v>2.6299326894332843E-25</v>
      </c>
      <c r="J27" s="30">
        <v>-8.5935226152921013E-3</v>
      </c>
      <c r="K27" s="30">
        <v>6.3907364353228813E-24</v>
      </c>
      <c r="L27" s="30">
        <v>9.8019867330675525E-2</v>
      </c>
      <c r="M27" s="32">
        <f t="shared" si="1"/>
        <v>180</v>
      </c>
      <c r="N27" s="30">
        <v>7.1054273576010019E-15</v>
      </c>
      <c r="O27" s="28">
        <v>0</v>
      </c>
      <c r="P27" s="30">
        <v>2.6299326894332843E-25</v>
      </c>
      <c r="Q27" s="30">
        <v>-1.0230207573783057E-24</v>
      </c>
      <c r="R27" s="30">
        <v>6.3907364353228813E-24</v>
      </c>
      <c r="S27" s="30">
        <v>-3.1380030238410154E-25</v>
      </c>
      <c r="T27" s="30"/>
      <c r="U27" s="15"/>
      <c r="V27" s="15"/>
      <c r="W27" s="15"/>
      <c r="X27" s="15"/>
      <c r="Y27" s="15"/>
    </row>
    <row r="28" spans="1:25" ht="15.75" x14ac:dyDescent="0.25">
      <c r="A28" s="15"/>
      <c r="B28" s="15"/>
      <c r="C28" s="15"/>
      <c r="D28" s="15"/>
      <c r="E28" s="30"/>
      <c r="F28" s="32">
        <f t="shared" si="0"/>
        <v>190</v>
      </c>
      <c r="G28" s="30">
        <v>150.7920530677298</v>
      </c>
      <c r="H28" s="30">
        <v>1</v>
      </c>
      <c r="I28" s="32">
        <v>5.8341411813722483E-27</v>
      </c>
      <c r="J28" s="30">
        <v>-8.5935226152921013E-3</v>
      </c>
      <c r="K28" s="30">
        <v>1.5795937248565364E-25</v>
      </c>
      <c r="L28" s="30">
        <v>9.8019867330675525E-2</v>
      </c>
      <c r="M28" s="32">
        <f t="shared" si="1"/>
        <v>190</v>
      </c>
      <c r="N28" s="30">
        <v>7.1054273576010019E-15</v>
      </c>
      <c r="O28" s="28">
        <v>0</v>
      </c>
      <c r="P28" s="30">
        <v>5.8341411813722483E-27</v>
      </c>
      <c r="Q28" s="30">
        <v>-2.5308975838201528E-26</v>
      </c>
      <c r="R28" s="30">
        <v>1.5795937248565364E-25</v>
      </c>
      <c r="S28" s="30">
        <v>-7.4933177561143388E-27</v>
      </c>
      <c r="T28" s="30"/>
      <c r="U28" s="15"/>
      <c r="V28" s="15"/>
      <c r="W28" s="15"/>
      <c r="X28" s="15"/>
      <c r="Y28" s="15"/>
    </row>
    <row r="29" spans="1:25" ht="15.75" x14ac:dyDescent="0.25">
      <c r="A29" s="15"/>
      <c r="B29" s="15"/>
      <c r="C29" s="15"/>
      <c r="D29" s="15"/>
      <c r="E29" s="30"/>
      <c r="F29" s="32">
        <f t="shared" si="0"/>
        <v>200</v>
      </c>
      <c r="G29" s="30">
        <v>160.7920530677298</v>
      </c>
      <c r="H29" s="30">
        <v>1</v>
      </c>
      <c r="I29" s="32">
        <v>1.3954348833456772E-28</v>
      </c>
      <c r="J29" s="30">
        <v>-8.5935226152921013E-3</v>
      </c>
      <c r="K29" s="30">
        <v>4.1863046500370312E-27</v>
      </c>
      <c r="L29" s="30">
        <v>9.8019867330675525E-2</v>
      </c>
      <c r="M29" s="32">
        <f t="shared" si="1"/>
        <v>200</v>
      </c>
      <c r="N29" s="30">
        <v>7.1054273576010019E-15</v>
      </c>
      <c r="O29" s="28">
        <v>0</v>
      </c>
      <c r="P29" s="30">
        <v>1.3954348833456772E-28</v>
      </c>
      <c r="Q29" s="30">
        <v>-6.7129159462939518E-28</v>
      </c>
      <c r="R29" s="30">
        <v>4.1863046500370312E-27</v>
      </c>
      <c r="S29" s="30">
        <v>-1.9240146757789333E-28</v>
      </c>
      <c r="T29" s="30"/>
      <c r="U29" s="15"/>
      <c r="V29" s="15"/>
      <c r="W29" s="15"/>
      <c r="X29" s="15"/>
      <c r="Y29" s="15"/>
    </row>
    <row r="30" spans="1:25" ht="15.75" x14ac:dyDescent="0.25">
      <c r="A30" s="15"/>
      <c r="B30" s="15"/>
      <c r="C30" s="15"/>
      <c r="D30" s="15"/>
      <c r="E30" s="30"/>
      <c r="F30" s="32">
        <f t="shared" si="0"/>
        <v>210</v>
      </c>
      <c r="G30" s="30">
        <v>170.7920530677298</v>
      </c>
      <c r="H30" s="30">
        <v>1</v>
      </c>
      <c r="I30" s="32">
        <v>3.5928078032304079E-30</v>
      </c>
      <c r="J30" s="30">
        <v>-8.5935226152921013E-3</v>
      </c>
      <c r="K30" s="30">
        <v>1.1883211809184575E-28</v>
      </c>
      <c r="L30" s="30">
        <v>9.8019867330675525E-2</v>
      </c>
      <c r="M30" s="32">
        <f t="shared" si="1"/>
        <v>210</v>
      </c>
      <c r="N30" s="30">
        <v>7.1054273576010019E-15</v>
      </c>
      <c r="O30" s="28">
        <v>0</v>
      </c>
      <c r="P30" s="30">
        <v>3.5928078032304079E-30</v>
      </c>
      <c r="Q30" s="30">
        <v>-1.9069023901165757E-29</v>
      </c>
      <c r="R30" s="30">
        <v>1.1883211809184575E-28</v>
      </c>
      <c r="S30" s="30">
        <v>-5.3041675495388641E-30</v>
      </c>
      <c r="T30" s="30"/>
      <c r="U30" s="15"/>
      <c r="V30" s="15"/>
      <c r="W30" s="15"/>
      <c r="X30" s="15"/>
      <c r="Y30" s="15"/>
    </row>
    <row r="31" spans="1:25" ht="15.75" x14ac:dyDescent="0.25">
      <c r="A31" s="15"/>
      <c r="B31" s="15"/>
      <c r="C31" s="15"/>
      <c r="D31" s="15"/>
      <c r="E31" s="30"/>
      <c r="F31" s="32">
        <f t="shared" si="0"/>
        <v>220</v>
      </c>
      <c r="G31" s="30">
        <v>180.7920530677298</v>
      </c>
      <c r="H31" s="30">
        <v>1</v>
      </c>
      <c r="I31" s="32">
        <v>9.9383583713301222E-32</v>
      </c>
      <c r="J31" s="30">
        <v>-8.5935226152921013E-3</v>
      </c>
      <c r="K31" s="30">
        <v>3.6076240887928345E-30</v>
      </c>
      <c r="L31" s="30">
        <v>9.8019867330675525E-2</v>
      </c>
      <c r="M31" s="32">
        <f t="shared" si="1"/>
        <v>220</v>
      </c>
      <c r="N31" s="30">
        <v>7.1054273576010019E-15</v>
      </c>
      <c r="O31" s="28">
        <v>0</v>
      </c>
      <c r="P31" s="30">
        <v>9.9383583713301222E-32</v>
      </c>
      <c r="Q31" s="30">
        <v>-5.7929401304935736E-31</v>
      </c>
      <c r="R31" s="30">
        <v>3.6076240887928345E-30</v>
      </c>
      <c r="S31" s="30">
        <v>-1.567228301423322E-31</v>
      </c>
      <c r="T31" s="30"/>
      <c r="U31" s="15"/>
      <c r="V31" s="15"/>
      <c r="W31" s="15"/>
      <c r="X31" s="15"/>
      <c r="Y31" s="15"/>
    </row>
    <row r="32" spans="1:25" ht="15.75" x14ac:dyDescent="0.25">
      <c r="A32" s="15"/>
      <c r="B32" s="15"/>
      <c r="C32" s="15"/>
      <c r="D32" s="15"/>
      <c r="E32" s="30"/>
      <c r="F32" s="32">
        <f t="shared" si="0"/>
        <v>230</v>
      </c>
      <c r="G32" s="30">
        <v>190.7920530677298</v>
      </c>
      <c r="H32" s="30">
        <v>1</v>
      </c>
      <c r="I32" s="32">
        <v>2.9474144009720155E-33</v>
      </c>
      <c r="J32" s="30">
        <v>-8.5935226152921013E-3</v>
      </c>
      <c r="K32" s="30">
        <v>1.1693866635856471E-31</v>
      </c>
      <c r="L32" s="30">
        <v>9.8019867330675525E-2</v>
      </c>
      <c r="M32" s="32">
        <f t="shared" si="1"/>
        <v>230</v>
      </c>
      <c r="N32" s="30">
        <v>7.1054273576010019E-15</v>
      </c>
      <c r="O32" s="28">
        <v>0</v>
      </c>
      <c r="P32" s="30">
        <v>2.9474144009720155E-33</v>
      </c>
      <c r="Q32" s="30">
        <v>-1.8788520623252518E-32</v>
      </c>
      <c r="R32" s="30">
        <v>1.1693866635856471E-31</v>
      </c>
      <c r="S32" s="30">
        <v>-4.9534360633347594E-33</v>
      </c>
      <c r="T32" s="30"/>
      <c r="U32" s="15"/>
      <c r="V32" s="15"/>
      <c r="W32" s="15"/>
      <c r="X32" s="15"/>
      <c r="Y32" s="15"/>
    </row>
    <row r="33" spans="1:25" ht="15.75" x14ac:dyDescent="0.25">
      <c r="A33" s="15"/>
      <c r="B33" s="15"/>
      <c r="C33" s="15"/>
      <c r="D33" s="15"/>
      <c r="E33" s="30"/>
      <c r="F33" s="32">
        <f t="shared" si="0"/>
        <v>240</v>
      </c>
      <c r="G33" s="30">
        <v>200.7920530677298</v>
      </c>
      <c r="H33" s="30">
        <v>1</v>
      </c>
      <c r="I33" s="32">
        <v>9.3511376311779407E-35</v>
      </c>
      <c r="J33" s="30">
        <v>-8.5935226152921013E-3</v>
      </c>
      <c r="K33" s="30">
        <v>4.0396914566688695E-33</v>
      </c>
      <c r="L33" s="30">
        <v>9.8019867330675525E-2</v>
      </c>
      <c r="M33" s="32">
        <f t="shared" si="1"/>
        <v>240</v>
      </c>
      <c r="N33" s="30">
        <v>7.1054273576010019E-15</v>
      </c>
      <c r="O33" s="28">
        <v>0</v>
      </c>
      <c r="P33" s="30">
        <v>9.3511376311779407E-35</v>
      </c>
      <c r="Q33" s="30">
        <v>-6.4940651130713119E-34</v>
      </c>
      <c r="R33" s="30">
        <v>4.0396914566688695E-33</v>
      </c>
      <c r="S33" s="30">
        <v>-1.6712846165716541E-34</v>
      </c>
      <c r="T33" s="30"/>
      <c r="U33" s="15"/>
      <c r="V33" s="15"/>
      <c r="W33" s="15"/>
      <c r="X33" s="15"/>
      <c r="Y33" s="15"/>
    </row>
    <row r="34" spans="1:25" ht="15.75" x14ac:dyDescent="0.25">
      <c r="A34" s="15"/>
      <c r="B34" s="15"/>
      <c r="C34" s="15"/>
      <c r="D34" s="15"/>
      <c r="E34" s="30"/>
      <c r="F34" s="32">
        <f t="shared" si="0"/>
        <v>250</v>
      </c>
      <c r="G34" s="30">
        <v>210.7920530677298</v>
      </c>
      <c r="H34" s="30">
        <v>1</v>
      </c>
      <c r="I34" s="32">
        <v>3.1668054025553393E-36</v>
      </c>
      <c r="J34" s="30">
        <v>-8.5935226152921013E-3</v>
      </c>
      <c r="K34" s="30">
        <v>1.4844400324478155E-34</v>
      </c>
      <c r="L34" s="30">
        <v>9.8019867330675525E-2</v>
      </c>
      <c r="M34" s="32">
        <f t="shared" si="1"/>
        <v>250</v>
      </c>
      <c r="N34" s="30">
        <v>7.1054273576010019E-15</v>
      </c>
      <c r="O34" s="28">
        <v>0</v>
      </c>
      <c r="P34" s="30">
        <v>3.1668054025553393E-36</v>
      </c>
      <c r="Q34" s="30">
        <v>-2.387511458963021E-35</v>
      </c>
      <c r="R34" s="30">
        <v>1.4844400324478155E-34</v>
      </c>
      <c r="S34" s="30">
        <v>-6.0069802959957863E-36</v>
      </c>
      <c r="T34" s="30"/>
      <c r="U34" s="15"/>
      <c r="V34" s="15"/>
      <c r="W34" s="15"/>
      <c r="X34" s="15"/>
      <c r="Y34" s="15"/>
    </row>
    <row r="35" spans="1:25" ht="15.75" x14ac:dyDescent="0.25">
      <c r="A35" s="15"/>
      <c r="B35" s="15"/>
      <c r="C35" s="15"/>
      <c r="D35" s="15"/>
      <c r="E35" s="30"/>
      <c r="F35" s="32">
        <f t="shared" si="0"/>
        <v>260</v>
      </c>
      <c r="G35" s="30">
        <v>220.7920530677298</v>
      </c>
      <c r="H35" s="30">
        <v>1</v>
      </c>
      <c r="I35" s="32">
        <v>1.1422267412194032E-37</v>
      </c>
      <c r="J35" s="30">
        <v>-8.5935226152921013E-3</v>
      </c>
      <c r="K35" s="30">
        <v>5.7910895779823745E-36</v>
      </c>
      <c r="L35" s="30">
        <v>9.8019867330675525E-2</v>
      </c>
      <c r="M35" s="32">
        <f t="shared" si="1"/>
        <v>260</v>
      </c>
      <c r="N35" s="30">
        <v>7.1054273576010019E-15</v>
      </c>
      <c r="O35" s="28">
        <v>0</v>
      </c>
      <c r="P35" s="30">
        <v>1.1422267412194032E-37</v>
      </c>
      <c r="Q35" s="30">
        <v>-9.3183785371571334E-37</v>
      </c>
      <c r="R35" s="30">
        <v>5.7910895779823745E-36</v>
      </c>
      <c r="S35" s="30">
        <v>-2.2951743977209472E-37</v>
      </c>
      <c r="T35" s="30"/>
      <c r="U35" s="15"/>
      <c r="V35" s="15"/>
      <c r="W35" s="15"/>
      <c r="X35" s="15"/>
      <c r="Y35" s="15"/>
    </row>
    <row r="36" spans="1:25" ht="15.75" x14ac:dyDescent="0.25">
      <c r="A36" s="15"/>
      <c r="B36" s="15"/>
      <c r="C36" s="15"/>
      <c r="D36" s="15"/>
      <c r="E36" s="30"/>
      <c r="F36" s="32">
        <f t="shared" si="0"/>
        <v>270</v>
      </c>
      <c r="G36" s="30">
        <v>230.7920530677298</v>
      </c>
      <c r="H36" s="30">
        <v>1</v>
      </c>
      <c r="I36" s="32">
        <v>4.3783724766393148E-39</v>
      </c>
      <c r="J36" s="30">
        <v>-8.5935226152921013E-3</v>
      </c>
      <c r="K36" s="30">
        <v>2.3938751516025452E-37</v>
      </c>
      <c r="L36" s="30">
        <v>9.8019867330675525E-2</v>
      </c>
      <c r="M36" s="32">
        <f t="shared" si="1"/>
        <v>270</v>
      </c>
      <c r="N36" s="30">
        <v>7.1054273576010019E-15</v>
      </c>
      <c r="O36" s="28">
        <v>0</v>
      </c>
      <c r="P36" s="30">
        <v>4.3783724766393148E-39</v>
      </c>
      <c r="Q36" s="30">
        <v>-3.8535750194120027E-38</v>
      </c>
      <c r="R36" s="30">
        <v>2.3938751516025452E-37</v>
      </c>
      <c r="S36" s="30">
        <v>-9.3031902737955839E-39</v>
      </c>
      <c r="T36" s="30"/>
      <c r="U36" s="15"/>
      <c r="V36" s="15"/>
      <c r="W36" s="15"/>
      <c r="X36" s="15"/>
      <c r="Y36" s="15"/>
    </row>
    <row r="37" spans="1:25" ht="15.75" x14ac:dyDescent="0.25">
      <c r="A37" s="15"/>
      <c r="B37" s="15"/>
      <c r="C37" s="15"/>
      <c r="D37" s="15"/>
      <c r="E37" s="30"/>
      <c r="F37" s="32">
        <f t="shared" si="0"/>
        <v>280</v>
      </c>
      <c r="G37" s="30">
        <v>240.7920530677298</v>
      </c>
      <c r="H37" s="30">
        <v>1</v>
      </c>
      <c r="I37" s="32">
        <v>1.7798395764708256E-40</v>
      </c>
      <c r="J37" s="30">
        <v>-8.5935226152921013E-3</v>
      </c>
      <c r="K37" s="30">
        <v>1.0465456709648455E-38</v>
      </c>
      <c r="L37" s="30">
        <v>9.8019867330675525E-2</v>
      </c>
      <c r="M37" s="32">
        <f t="shared" si="1"/>
        <v>280</v>
      </c>
      <c r="N37" s="30">
        <v>7.1054273576010019E-15</v>
      </c>
      <c r="O37" s="28">
        <v>0</v>
      </c>
      <c r="P37" s="30">
        <v>1.7798395764708256E-40</v>
      </c>
      <c r="Q37" s="30">
        <v>-1.6853477335563033E-39</v>
      </c>
      <c r="R37" s="30">
        <v>1.0465456709648455E-38</v>
      </c>
      <c r="S37" s="30">
        <v>-3.9923374471426721E-40</v>
      </c>
      <c r="T37" s="30"/>
      <c r="U37" s="15"/>
      <c r="V37" s="15"/>
      <c r="W37" s="15"/>
      <c r="X37" s="15"/>
      <c r="Y37" s="15"/>
    </row>
    <row r="38" spans="1:25" x14ac:dyDescent="0.25">
      <c r="A38" s="15"/>
      <c r="B38" s="15"/>
      <c r="C38" s="15"/>
      <c r="D38" s="15"/>
      <c r="E38" s="15"/>
      <c r="F38" s="15"/>
      <c r="G38" s="15"/>
      <c r="H38" s="15"/>
      <c r="I38" s="2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</row>
    <row r="39" spans="1:25" x14ac:dyDescent="0.25">
      <c r="A39" s="15"/>
      <c r="B39" s="15"/>
      <c r="C39" s="15"/>
      <c r="D39" s="15"/>
      <c r="E39" s="15"/>
      <c r="F39" s="15"/>
      <c r="G39" s="15"/>
      <c r="H39" s="15"/>
      <c r="I39" s="2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</row>
    <row r="40" spans="1:25" x14ac:dyDescent="0.25">
      <c r="A40" s="15"/>
      <c r="B40" s="15"/>
      <c r="C40" s="15"/>
      <c r="D40" s="15"/>
      <c r="E40" s="15"/>
      <c r="F40" s="15"/>
      <c r="G40" s="15"/>
      <c r="H40" s="15"/>
      <c r="I40" s="2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 x14ac:dyDescent="0.25">
      <c r="A41" s="15"/>
      <c r="B41" s="15"/>
      <c r="C41" s="15"/>
      <c r="D41" s="15"/>
      <c r="E41" s="15"/>
      <c r="F41" s="15"/>
      <c r="G41" s="15"/>
      <c r="H41" s="15"/>
      <c r="I41" s="2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  <row r="42" spans="1:25" x14ac:dyDescent="0.25">
      <c r="A42" s="15"/>
      <c r="B42" s="15"/>
      <c r="C42" s="15"/>
      <c r="D42" s="15"/>
      <c r="E42" s="15"/>
      <c r="F42" s="15"/>
      <c r="G42" s="15"/>
      <c r="H42" s="15"/>
      <c r="I42" s="2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</row>
    <row r="43" spans="1:25" x14ac:dyDescent="0.25">
      <c r="A43" s="15"/>
      <c r="B43" s="15"/>
      <c r="C43" s="15"/>
      <c r="D43" s="15"/>
      <c r="E43" s="15"/>
      <c r="F43" s="15"/>
      <c r="G43" s="15"/>
      <c r="H43" s="15"/>
      <c r="I43" s="2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</row>
    <row r="44" spans="1:25" x14ac:dyDescent="0.25">
      <c r="A44" s="15"/>
      <c r="B44" s="15"/>
      <c r="C44" s="15"/>
      <c r="D44" s="15"/>
      <c r="E44" s="15"/>
      <c r="F44" s="15"/>
      <c r="G44" s="15"/>
      <c r="H44" s="15"/>
      <c r="I44" s="2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</row>
    <row r="45" spans="1:25" x14ac:dyDescent="0.25">
      <c r="A45" s="15"/>
      <c r="B45" s="15"/>
      <c r="C45" s="15"/>
      <c r="D45" s="15"/>
      <c r="E45" s="15"/>
      <c r="F45" s="15"/>
      <c r="G45" s="15"/>
      <c r="H45" s="15"/>
      <c r="I45" s="2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</row>
    <row r="46" spans="1:25" x14ac:dyDescent="0.25">
      <c r="A46" s="15"/>
      <c r="B46" s="15"/>
      <c r="C46" s="15"/>
      <c r="D46" s="15"/>
      <c r="E46" s="15"/>
      <c r="F46" s="15"/>
      <c r="G46" s="15"/>
      <c r="H46" s="15"/>
      <c r="I46" s="2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</row>
    <row r="47" spans="1:25" x14ac:dyDescent="0.25">
      <c r="A47" s="15"/>
      <c r="B47" s="15"/>
      <c r="C47" s="15"/>
      <c r="D47" s="15"/>
      <c r="E47" s="15"/>
      <c r="F47" s="15"/>
      <c r="G47" s="15"/>
      <c r="H47" s="15"/>
      <c r="I47" s="2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</row>
    <row r="48" spans="1:2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</row>
    <row r="49" spans="1:2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1:2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</row>
    <row r="51" spans="1:2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</row>
    <row r="52" spans="1:25" x14ac:dyDescent="0.25">
      <c r="W52" s="37"/>
      <c r="X52" s="37"/>
      <c r="Y52" s="37"/>
    </row>
  </sheetData>
  <mergeCells count="9">
    <mergeCell ref="A20:B20"/>
    <mergeCell ref="A1:O1"/>
    <mergeCell ref="A12:B12"/>
    <mergeCell ref="A14:B14"/>
    <mergeCell ref="C16:D16"/>
    <mergeCell ref="A4:B4"/>
    <mergeCell ref="A6:B6"/>
    <mergeCell ref="A8:B8"/>
    <mergeCell ref="A10:B10"/>
  </mergeCells>
  <dataValidations count="1">
    <dataValidation type="list" allowBlank="1" showInputMessage="1" showErrorMessage="1" sqref="C16:D16" xr:uid="{3B556C7C-C35B-4E21-831E-E59F78DE8399}">
      <formula1>$E$14:$E$16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 Susanti</dc:creator>
  <cp:lastModifiedBy>Dini Susanti</cp:lastModifiedBy>
  <dcterms:created xsi:type="dcterms:W3CDTF">2022-01-25T15:00:03Z</dcterms:created>
  <dcterms:modified xsi:type="dcterms:W3CDTF">2022-01-28T09:12:59Z</dcterms:modified>
</cp:coreProperties>
</file>